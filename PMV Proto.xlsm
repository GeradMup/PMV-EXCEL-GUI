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84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60" i="3" l="1"/>
  <c r="AO5" i="2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1" i="4"/>
  <c r="S121" i="3"/>
  <c r="S33" i="3" l="1"/>
  <c r="S118" i="3"/>
  <c r="R5" i="3" l="1"/>
  <c r="A1" i="3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7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S8" i="3"/>
  <c r="P7" i="3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P6" i="3" l="1"/>
  <c r="P5" i="3" s="1"/>
  <c r="O7" i="3"/>
  <c r="O6" i="3" s="1"/>
  <c r="AA8" i="2"/>
  <c r="L7" i="3"/>
  <c r="B5" i="3" l="1"/>
  <c r="AA7" i="2"/>
</calcChain>
</file>

<file path=xl/sharedStrings.xml><?xml version="1.0" encoding="utf-8"?>
<sst xmlns="http://schemas.openxmlformats.org/spreadsheetml/2006/main" count="4172" uniqueCount="1760">
  <si>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</si>
  <si>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</si>
  <si>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</si>
  <si>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</si>
  <si>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</si>
  <si>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</si>
  <si>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</si>
  <si>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</si>
  <si>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</si>
  <si>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</si>
  <si>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</si>
  <si>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</si>
  <si>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</si>
  <si>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</si>
  <si>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</si>
  <si>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</si>
  <si>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</si>
  <si>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</si>
  <si>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</si>
  <si>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</si>
  <si>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</si>
  <si>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</si>
  <si>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</si>
  <si>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</si>
  <si>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</si>
  <si>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</si>
  <si>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</si>
  <si>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</si>
  <si>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</si>
  <si>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</si>
  <si>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</si>
  <si>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</si>
  <si>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</si>
  <si>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</si>
  <si>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</si>
  <si>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</si>
  <si>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</si>
  <si>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</si>
  <si>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</si>
  <si>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</si>
  <si>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</si>
  <si>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</si>
  <si>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</si>
  <si>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</si>
  <si>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</si>
  <si>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</si>
  <si>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</si>
  <si>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</si>
  <si>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</si>
  <si>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</si>
  <si>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</si>
  <si>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</si>
  <si>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</si>
  <si>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</si>
  <si>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</si>
  <si>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</si>
  <si>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</si>
  <si>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</si>
  <si>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</si>
  <si>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</si>
  <si>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</si>
  <si>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</si>
  <si>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</si>
  <si>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</si>
  <si>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</si>
  <si>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</si>
  <si>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</si>
  <si>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</si>
  <si>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</si>
  <si>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</si>
  <si>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</si>
  <si>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</si>
  <si>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</si>
  <si>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</si>
  <si>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</si>
  <si>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</si>
  <si>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</si>
  <si>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</si>
  <si>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</si>
  <si>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</si>
  <si>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</si>
  <si>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</si>
  <si>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</si>
  <si>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</si>
  <si>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</si>
  <si>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</si>
  <si>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</si>
  <si>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</si>
  <si>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</si>
  <si>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</si>
  <si>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</si>
  <si>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</si>
  <si>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</si>
  <si>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</si>
  <si>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</si>
  <si>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</si>
  <si>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</si>
  <si>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</si>
  <si>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</si>
  <si>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</si>
  <si>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</si>
  <si>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</si>
  <si>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</si>
  <si>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</si>
  <si>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</si>
  <si>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</si>
  <si>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</si>
  <si>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</si>
  <si>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</si>
  <si>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</si>
  <si>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</si>
  <si>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</si>
  <si>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</si>
  <si>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</si>
  <si>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</si>
  <si>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</si>
  <si>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</si>
  <si>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</si>
  <si>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</si>
  <si>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</si>
  <si>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</si>
  <si>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</si>
  <si>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</si>
  <si>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</si>
  <si>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</si>
  <si>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</si>
  <si>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</si>
  <si>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</si>
  <si>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</si>
  <si>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</si>
  <si>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</si>
  <si>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</si>
  <si>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</si>
  <si>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</si>
  <si>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</si>
  <si>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</si>
  <si>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</si>
  <si>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</si>
  <si>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</si>
  <si>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</si>
  <si>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</si>
  <si>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</si>
  <si>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</si>
  <si>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</si>
  <si>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</si>
  <si>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</si>
  <si>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</si>
  <si>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</si>
  <si>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</si>
  <si>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</si>
  <si>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</si>
  <si>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</si>
  <si>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</si>
  <si>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</si>
  <si>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</si>
  <si>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</si>
  <si>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</si>
  <si>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</si>
  <si>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</si>
  <si>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</si>
  <si>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</si>
  <si>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</si>
  <si>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</si>
  <si>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</si>
  <si>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</si>
  <si>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</si>
  <si>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</si>
  <si>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</si>
  <si>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</si>
  <si>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</si>
  <si>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</si>
  <si>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</si>
  <si>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</si>
  <si>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</si>
  <si>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</si>
  <si>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</si>
  <si>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</si>
  <si>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</si>
  <si>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</si>
  <si>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</si>
  <si>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</si>
  <si>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</si>
  <si>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</si>
  <si>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</si>
  <si>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</si>
  <si>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</si>
  <si>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</si>
  <si>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</si>
  <si>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</si>
  <si>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</si>
  <si>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</si>
  <si>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</si>
  <si>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</si>
  <si>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</si>
  <si>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</si>
  <si>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</si>
  <si>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</si>
  <si>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</si>
  <si>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</si>
  <si>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</si>
  <si>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</si>
  <si>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</si>
  <si>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</si>
  <si>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</si>
  <si>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</si>
  <si>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</si>
  <si>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</si>
  <si>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</si>
  <si>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</si>
  <si>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</si>
  <si>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</si>
  <si>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</si>
  <si>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</si>
  <si>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</si>
  <si>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</si>
  <si>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</si>
  <si>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</si>
  <si>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</si>
  <si>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</si>
  <si>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</si>
  <si>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</si>
  <si>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</si>
  <si>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</si>
  <si>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</si>
  <si>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</si>
  <si>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</si>
  <si>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</si>
  <si>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</si>
  <si>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</si>
  <si>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</si>
  <si>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</si>
  <si>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</si>
  <si>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</si>
  <si>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</si>
  <si>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</si>
  <si>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</si>
  <si>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</si>
  <si>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</si>
  <si>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</si>
  <si>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</si>
  <si>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</si>
  <si>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</si>
  <si>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</si>
  <si>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</si>
  <si>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</si>
  <si>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</si>
  <si>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</si>
  <si>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</si>
  <si>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</si>
  <si>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</si>
  <si>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</si>
  <si>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</si>
  <si>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</si>
  <si>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</si>
  <si>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</si>
  <si>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</si>
  <si>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</si>
  <si>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</si>
  <si>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</si>
  <si>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</si>
  <si>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</si>
  <si>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</si>
  <si>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</si>
  <si>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</si>
  <si>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</si>
  <si>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</si>
  <si>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</si>
  <si>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</si>
  <si>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</si>
  <si>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</si>
  <si>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</si>
  <si>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</si>
  <si>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</si>
  <si>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</si>
  <si>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</si>
  <si>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</si>
  <si>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</si>
  <si>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</si>
  <si>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</si>
  <si>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</si>
  <si>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</si>
  <si>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</si>
  <si>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</si>
  <si>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</si>
  <si>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</si>
  <si>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</si>
  <si>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</si>
  <si>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</si>
  <si>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</si>
  <si>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</si>
  <si>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</si>
  <si>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</si>
  <si>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</si>
  <si>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</si>
  <si>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</si>
  <si>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</si>
  <si>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</si>
  <si>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</si>
  <si>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</si>
  <si>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</si>
  <si>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</si>
  <si>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</si>
  <si>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</si>
  <si>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</si>
  <si>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</si>
  <si>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</si>
  <si>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</si>
  <si>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</si>
  <si>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</si>
  <si>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</si>
  <si>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</si>
  <si>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</si>
  <si>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</si>
  <si>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</si>
  <si>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</si>
  <si>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</si>
  <si>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</si>
  <si>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</si>
  <si>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</si>
  <si>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</si>
  <si>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</si>
  <si>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</si>
  <si>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</si>
  <si>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</si>
  <si>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</si>
  <si>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</si>
  <si>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</si>
  <si>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</si>
  <si>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</si>
  <si>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</si>
  <si>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</si>
  <si>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</si>
  <si>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</si>
  <si>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</si>
  <si>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</si>
  <si>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</si>
  <si>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</si>
  <si>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</si>
  <si>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</si>
  <si>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</si>
  <si>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</si>
  <si>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</si>
  <si>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</si>
  <si>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</si>
  <si>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</si>
  <si>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</si>
  <si>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</si>
  <si>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</si>
  <si>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</si>
  <si>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</si>
  <si>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</si>
  <si>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</si>
  <si>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</si>
  <si>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</si>
  <si>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</si>
  <si>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</si>
  <si>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</si>
  <si>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</si>
  <si>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</si>
  <si>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</si>
  <si>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</si>
  <si>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</si>
  <si>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</si>
  <si>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</si>
  <si>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</si>
  <si>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</si>
  <si>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</si>
  <si>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</si>
  <si>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</si>
  <si>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</si>
  <si>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</si>
  <si>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</si>
  <si>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</si>
  <si>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</si>
  <si>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</si>
  <si>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</si>
  <si>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</si>
  <si>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</si>
  <si>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</si>
  <si>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</si>
  <si>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</si>
  <si>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</si>
  <si>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</si>
  <si>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</si>
  <si>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</si>
  <si>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</si>
  <si>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</si>
  <si>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</si>
  <si>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</si>
  <si>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</si>
  <si>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</si>
  <si>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</si>
  <si>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</si>
  <si>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</si>
  <si>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</si>
  <si>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</si>
  <si>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</si>
  <si>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</si>
  <si>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</si>
  <si>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</si>
  <si>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</si>
  <si>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</si>
  <si>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</si>
  <si>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</si>
  <si>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</si>
  <si>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</si>
  <si>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</si>
  <si>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</si>
  <si>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</si>
  <si>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</si>
  <si>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</si>
  <si>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</si>
  <si>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</si>
  <si>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</si>
  <si>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</si>
  <si>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</si>
  <si>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</si>
  <si>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</si>
  <si>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</si>
  <si>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</si>
  <si>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</si>
  <si>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</si>
  <si>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</si>
  <si>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</si>
  <si>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</si>
  <si>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</si>
  <si>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</si>
  <si>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</si>
  <si>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</si>
  <si>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</si>
  <si>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</si>
  <si>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</si>
  <si>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</si>
  <si>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</si>
  <si>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</si>
  <si>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</si>
  <si>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</si>
  <si>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</si>
  <si>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</si>
  <si>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</si>
  <si>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</si>
  <si>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</si>
  <si>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</si>
  <si>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</si>
  <si>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</si>
  <si>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</si>
  <si>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</si>
  <si>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</si>
  <si>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</si>
  <si>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</si>
  <si>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</si>
  <si>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</si>
  <si>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</si>
  <si>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</si>
  <si>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</si>
  <si>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</si>
  <si>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</si>
  <si>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</si>
  <si>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</si>
  <si>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</si>
  <si>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</si>
  <si>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</si>
  <si>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</si>
  <si>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</si>
  <si>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</si>
  <si>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</si>
  <si>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</si>
  <si>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</si>
  <si>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</si>
  <si>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</si>
  <si>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</si>
  <si>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</si>
  <si>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</si>
  <si>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</si>
  <si>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</si>
  <si>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</si>
  <si>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</si>
  <si>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</si>
  <si>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</si>
  <si>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</si>
  <si>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</si>
  <si>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</si>
  <si>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</si>
  <si>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</si>
  <si>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</si>
  <si>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</si>
  <si>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</si>
  <si>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</si>
  <si>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</si>
  <si>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</si>
  <si>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</si>
  <si>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</si>
  <si>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</si>
  <si>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</si>
  <si>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</si>
  <si>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</si>
  <si>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</si>
  <si>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</si>
  <si>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</si>
  <si>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</si>
  <si>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</si>
  <si>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</si>
  <si>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</si>
  <si>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</si>
  <si>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</si>
  <si>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</si>
  <si>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</si>
  <si>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</si>
  <si>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</si>
  <si>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</si>
  <si>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</si>
  <si>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</si>
  <si>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</si>
  <si>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</si>
  <si>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</si>
  <si>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</si>
  <si>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</si>
  <si>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</si>
  <si>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</si>
  <si>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</si>
  <si>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</si>
  <si>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</si>
  <si>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</si>
  <si>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</si>
  <si>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</si>
  <si>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</si>
  <si>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</si>
  <si>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</si>
  <si>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</si>
  <si>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</si>
  <si>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</si>
  <si>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</si>
  <si>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</si>
  <si>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</si>
  <si>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</si>
  <si>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</si>
  <si>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</si>
  <si>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</si>
  <si>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</si>
  <si>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</si>
  <si>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</si>
  <si>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</si>
  <si>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</si>
  <si>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</si>
  <si>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</si>
  <si>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</si>
  <si>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</si>
  <si>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</si>
  <si>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</si>
  <si>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</si>
  <si>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</si>
  <si>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</si>
  <si>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</si>
  <si>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</si>
  <si>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</si>
  <si>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</si>
  <si>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</si>
  <si>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</si>
  <si>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</si>
  <si>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</si>
  <si>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</si>
  <si>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</si>
  <si>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</si>
  <si>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</si>
  <si>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</si>
  <si>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</si>
  <si>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</si>
  <si>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</si>
  <si>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</si>
  <si>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</si>
  <si>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</si>
  <si>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</si>
  <si>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</si>
  <si>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</si>
  <si>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</si>
  <si>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</si>
  <si>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</si>
  <si>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</si>
  <si>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</si>
  <si>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</si>
  <si>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</si>
  <si>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</si>
  <si>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</si>
  <si>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</si>
  <si>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</si>
  <si>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</si>
  <si>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</si>
  <si>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</si>
  <si>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</si>
  <si>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</si>
  <si>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</si>
  <si>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</si>
  <si>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</si>
  <si>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</si>
  <si>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</si>
  <si>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</si>
  <si>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</si>
  <si>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</si>
  <si>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</si>
  <si>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</si>
  <si>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</si>
  <si>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</si>
  <si>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</si>
  <si>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</si>
  <si>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</si>
  <si>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</si>
  <si>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</si>
  <si>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</si>
  <si>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</si>
  <si>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</si>
  <si>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</si>
  <si>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</si>
  <si>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</si>
  <si>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</si>
  <si>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</si>
  <si>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</si>
  <si>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</si>
  <si>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</si>
  <si>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</si>
  <si>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</si>
  <si>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</si>
  <si>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</si>
  <si>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</si>
  <si>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</si>
  <si>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</si>
  <si>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</si>
  <si>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</si>
  <si>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</si>
  <si>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</si>
  <si>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</si>
  <si>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</si>
  <si>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</si>
  <si>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</si>
  <si>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</si>
  <si>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</si>
  <si>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</si>
  <si>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</si>
  <si>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</si>
  <si>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</si>
  <si>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</si>
  <si>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</si>
  <si>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</si>
  <si>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</si>
  <si>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</si>
  <si>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</si>
  <si>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</si>
  <si>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</si>
  <si>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</si>
  <si>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</si>
  <si>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</si>
  <si>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</si>
  <si>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</si>
  <si>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</si>
  <si>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</si>
  <si>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</si>
  <si>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</si>
  <si>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</si>
  <si>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</si>
  <si>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</si>
  <si>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</si>
  <si>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</si>
  <si>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</si>
  <si>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</si>
  <si>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</si>
  <si>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</si>
  <si>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</si>
  <si>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</si>
  <si>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</si>
  <si>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</si>
  <si>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</si>
  <si>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</si>
  <si>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</si>
  <si>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</si>
  <si>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</si>
  <si>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</si>
  <si>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</si>
  <si>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</si>
  <si>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</si>
  <si>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</si>
  <si>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</si>
  <si>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</si>
  <si>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</si>
  <si>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</si>
  <si>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</si>
  <si>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</si>
  <si>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</si>
  <si>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</si>
  <si>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</si>
  <si>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</si>
  <si>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</si>
  <si>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</si>
  <si>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</si>
  <si>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</si>
  <si>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</si>
  <si>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</si>
  <si>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</si>
  <si>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</si>
  <si>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</si>
  <si>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</si>
  <si>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</si>
  <si>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</si>
  <si>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</si>
  <si>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</si>
  <si>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</si>
  <si>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</si>
  <si>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</si>
  <si>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</si>
  <si>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</si>
  <si>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</si>
  <si>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</si>
  <si>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</si>
  <si>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</si>
  <si>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</si>
  <si>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</si>
  <si>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</si>
  <si>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</si>
  <si>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</si>
  <si>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</si>
  <si>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</si>
  <si>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</si>
  <si>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</si>
  <si>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</si>
  <si>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</si>
  <si>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</si>
  <si>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</si>
  <si>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</si>
  <si>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</si>
  <si>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</si>
  <si>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</si>
  <si>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</si>
  <si>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</si>
  <si>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</si>
  <si>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</si>
  <si>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</si>
  <si>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</si>
  <si>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</si>
  <si>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</si>
  <si>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</si>
  <si>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</si>
  <si>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</si>
  <si>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</si>
  <si>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</si>
  <si>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</si>
  <si>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</si>
  <si>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</si>
  <si>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</si>
  <si>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</si>
  <si>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</si>
  <si>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</si>
  <si>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</si>
  <si>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</si>
  <si>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</si>
  <si>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</si>
  <si>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</si>
  <si>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</si>
  <si>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</si>
  <si>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</si>
  <si>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</si>
  <si>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</si>
  <si>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</si>
  <si>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</si>
  <si>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</si>
  <si>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</si>
  <si>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</si>
  <si>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</si>
  <si>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</si>
  <si>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</si>
  <si>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</si>
  <si>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</si>
  <si>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</si>
  <si>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</si>
  <si>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</si>
  <si>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</si>
  <si>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</si>
  <si>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</si>
  <si>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</si>
  <si>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</si>
  <si>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</si>
  <si>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</si>
  <si>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</si>
  <si>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</si>
  <si>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</si>
  <si>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</si>
  <si>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</si>
  <si>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</si>
  <si>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</si>
  <si>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</si>
  <si>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</si>
  <si>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</si>
  <si>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</si>
  <si>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</si>
  <si>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</si>
  <si>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</si>
  <si>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</si>
  <si>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</si>
  <si>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</si>
  <si>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</si>
  <si>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</si>
  <si>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</si>
  <si>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</si>
  <si>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</si>
  <si>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</si>
  <si>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</si>
  <si>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</si>
  <si>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</si>
  <si>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</si>
  <si>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</si>
  <si>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</si>
  <si>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</si>
  <si>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</si>
  <si>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</si>
  <si>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</si>
  <si>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</si>
  <si>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</si>
  <si>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</si>
  <si>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</si>
  <si>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</si>
  <si>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</si>
  <si>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</si>
  <si>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</si>
  <si>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</si>
  <si>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</si>
  <si>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</si>
  <si>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</si>
  <si>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</si>
  <si>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</si>
  <si>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</si>
  <si>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</si>
  <si>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</si>
  <si>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</si>
  <si>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</si>
  <si>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</si>
  <si>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</si>
  <si>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</si>
  <si>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</si>
  <si>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</si>
  <si>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</si>
  <si>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</si>
  <si>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</si>
  <si>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</si>
  <si>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</si>
  <si>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</si>
  <si>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</si>
  <si>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</si>
  <si>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</si>
  <si>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</si>
  <si>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</si>
  <si>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</si>
  <si>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</si>
  <si>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</si>
  <si>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</si>
  <si>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</si>
  <si>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</si>
  <si>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</si>
  <si>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</si>
  <si>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</si>
  <si>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</si>
  <si>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</si>
  <si>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</si>
  <si>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</si>
  <si>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</si>
  <si>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</si>
  <si>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</si>
  <si>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</si>
  <si>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</si>
  <si>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</si>
  <si>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</si>
  <si>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</si>
  <si>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</si>
  <si>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</si>
  <si>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</si>
  <si>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</si>
  <si>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</si>
  <si>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</si>
  <si>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</si>
  <si>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</si>
  <si>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</si>
  <si>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</si>
  <si>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</si>
  <si>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</si>
  <si>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</si>
  <si>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</si>
  <si>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</si>
  <si>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</si>
  <si>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</si>
  <si>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</si>
  <si>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</si>
  <si>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</si>
  <si>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</si>
  <si>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</si>
  <si>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</si>
  <si>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</si>
  <si>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</si>
  <si>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</si>
  <si>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</si>
  <si>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</si>
  <si>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</si>
  <si>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</si>
  <si>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</si>
  <si>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</si>
  <si>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</si>
  <si>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</si>
  <si>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</si>
  <si>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</si>
  <si>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</si>
  <si>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</si>
  <si>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</si>
  <si>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</si>
  <si>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</si>
  <si>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</si>
  <si>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</si>
  <si>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</si>
  <si>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</si>
  <si>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</si>
  <si>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</si>
  <si>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</si>
  <si>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</si>
  <si>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</si>
  <si>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</si>
  <si>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</si>
  <si>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</si>
  <si>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</si>
  <si>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</si>
  <si>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</si>
  <si>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</si>
  <si>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</si>
  <si>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</si>
  <si>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</si>
  <si>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</si>
  <si>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</si>
  <si>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</si>
  <si>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</si>
  <si>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</si>
  <si>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</si>
  <si>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</si>
  <si>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</si>
  <si>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</si>
  <si>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</si>
  <si>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</si>
  <si>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</si>
  <si>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</si>
  <si>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</si>
  <si>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</si>
  <si>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</si>
  <si>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</si>
  <si>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</si>
  <si>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</si>
  <si>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</si>
  <si>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</si>
  <si>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</si>
  <si>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</si>
  <si>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</si>
  <si>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</si>
  <si>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</si>
  <si>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</si>
  <si>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</si>
  <si>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</si>
  <si>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</si>
  <si>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</si>
  <si>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</si>
  <si>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</si>
  <si>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</si>
  <si>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</si>
  <si>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</si>
  <si>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</si>
  <si>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</si>
  <si>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</si>
  <si>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</si>
  <si>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</si>
  <si>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</si>
  <si>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</si>
  <si>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</si>
  <si>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</si>
  <si>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</si>
  <si>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</si>
  <si>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</si>
  <si>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</si>
  <si>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</si>
  <si>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</si>
  <si>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</si>
  <si>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</si>
  <si>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</si>
  <si>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</si>
  <si>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</si>
  <si>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</si>
  <si>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</si>
  <si>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</si>
  <si>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</si>
  <si>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</si>
  <si>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</si>
  <si>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</si>
  <si>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</si>
  <si>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</si>
  <si>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</si>
  <si>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</si>
  <si>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</si>
  <si>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</si>
  <si>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</si>
  <si>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</si>
  <si>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</si>
  <si>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</si>
  <si>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</si>
  <si>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</si>
  <si>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</si>
  <si>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</si>
  <si>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</si>
  <si>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</si>
  <si>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</si>
  <si>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</si>
  <si>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</si>
  <si>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</si>
  <si>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</si>
  <si>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</si>
  <si>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</si>
  <si>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</si>
  <si>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</si>
  <si>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</si>
  <si>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</si>
  <si>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</si>
  <si>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</si>
  <si>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</si>
  <si>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</si>
  <si>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</si>
  <si>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</si>
  <si>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</si>
  <si>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</si>
  <si>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</si>
  <si>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</si>
  <si>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</si>
  <si>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</si>
  <si>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</si>
  <si>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</si>
  <si>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</si>
  <si>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</si>
  <si>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</si>
  <si>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</si>
  <si>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</si>
  <si>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</si>
  <si>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</si>
  <si>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</si>
  <si>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</si>
  <si>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</si>
  <si>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</si>
  <si>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</si>
  <si>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</si>
  <si>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</si>
  <si>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</si>
  <si>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</si>
  <si>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</si>
  <si>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</si>
  <si>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</si>
  <si>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</si>
  <si>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</si>
  <si>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</si>
  <si>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</si>
  <si>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</si>
  <si>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</si>
  <si>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</si>
  <si>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</si>
  <si>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</si>
  <si>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</si>
  <si>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</si>
  <si>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</si>
  <si>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</si>
  <si>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</si>
  <si>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</si>
  <si>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</si>
  <si>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</si>
  <si>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</si>
  <si>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</si>
  <si>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</si>
  <si>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</si>
  <si>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</si>
  <si>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</si>
  <si>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</si>
  <si>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</si>
  <si>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</si>
  <si>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</si>
  <si>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</si>
  <si>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</si>
  <si>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</si>
  <si>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</si>
  <si>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</si>
  <si>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</si>
  <si>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</si>
  <si>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</si>
  <si>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</si>
  <si>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</si>
  <si>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</si>
  <si>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</si>
  <si>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</si>
  <si>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</si>
  <si>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</si>
  <si>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</si>
  <si>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</si>
  <si>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</si>
  <si>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</si>
  <si>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</si>
  <si>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</si>
  <si>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</si>
  <si>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</si>
  <si>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</si>
  <si>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</si>
  <si>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</si>
  <si>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</si>
  <si>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</si>
  <si>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</si>
  <si>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</si>
  <si>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</si>
  <si>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</si>
  <si>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</si>
  <si>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</si>
  <si>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</si>
  <si>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</si>
  <si>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</si>
  <si>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</si>
  <si>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</si>
  <si>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</si>
  <si>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</si>
  <si>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</si>
  <si>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</si>
  <si>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</si>
  <si>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</si>
  <si>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</si>
  <si>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</si>
  <si>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</si>
  <si>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</si>
  <si>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</si>
  <si>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</si>
  <si>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</si>
  <si>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</si>
  <si>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</si>
  <si>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</si>
  <si>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</si>
  <si>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</si>
  <si>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</si>
  <si>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</si>
  <si>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</si>
  <si>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</si>
  <si>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</si>
  <si>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</si>
  <si>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</si>
  <si>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</si>
  <si>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</si>
  <si>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</si>
  <si>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</si>
  <si>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</si>
  <si>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</si>
  <si>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</si>
  <si>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</si>
  <si>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</si>
  <si>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</si>
  <si>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</si>
  <si>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</si>
  <si>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</si>
  <si>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</si>
  <si>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</si>
  <si>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</si>
  <si>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</si>
  <si>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</si>
  <si>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</si>
  <si>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</si>
  <si>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</si>
  <si>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</si>
  <si>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</si>
  <si>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</si>
  <si>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</si>
  <si>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</si>
  <si>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</si>
  <si>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</si>
  <si>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</si>
  <si>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</si>
  <si>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</si>
  <si>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</si>
  <si>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</si>
  <si>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</si>
  <si>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</si>
  <si>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</si>
  <si>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</si>
  <si>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</si>
  <si>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</si>
  <si>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</si>
  <si>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</si>
  <si>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</si>
  <si>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</si>
  <si>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</si>
  <si>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</si>
  <si>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</si>
  <si>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</si>
  <si>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</si>
  <si>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</si>
  <si>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</si>
  <si>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</si>
  <si>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</si>
  <si>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</si>
  <si>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</si>
  <si>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</si>
  <si>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</si>
  <si>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</si>
  <si>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</si>
  <si>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</si>
  <si>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</si>
  <si>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</si>
  <si>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</si>
  <si>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</si>
  <si>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</si>
  <si>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</si>
  <si>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</si>
  <si>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</si>
  <si>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</si>
  <si>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</si>
  <si>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</si>
  <si>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</si>
  <si>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</si>
  <si>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</si>
  <si>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</si>
  <si>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</si>
  <si>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</si>
  <si>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</si>
  <si>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</si>
  <si>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</si>
  <si>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</si>
  <si>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</si>
  <si>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</si>
  <si>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</si>
  <si>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</si>
  <si>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</si>
  <si>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</si>
  <si>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</si>
  <si>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</si>
  <si>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</si>
  <si>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</si>
  <si>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</si>
  <si>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</si>
  <si>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</si>
  <si>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</si>
  <si>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</si>
  <si>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</si>
  <si>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</si>
  <si>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</si>
  <si>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</si>
  <si>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</si>
  <si>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</si>
  <si>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</si>
  <si>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</si>
  <si>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</si>
  <si>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</si>
  <si>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</si>
  <si>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</si>
  <si>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</si>
  <si>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</si>
  <si>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</si>
  <si>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</si>
  <si>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</si>
  <si>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</si>
  <si>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</si>
  <si>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</si>
  <si>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</si>
  <si>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</si>
  <si>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</si>
  <si>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</si>
  <si>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</si>
  <si>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</si>
  <si>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</si>
  <si>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</si>
  <si>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</si>
  <si>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</si>
  <si>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</si>
  <si>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</si>
  <si>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</si>
  <si>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</si>
  <si>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</si>
  <si>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</si>
  <si>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</si>
  <si>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</si>
  <si>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</si>
  <si>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</si>
  <si>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</si>
  <si>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</si>
  <si>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</si>
  <si>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</si>
  <si>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</si>
  <si>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</si>
  <si>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</si>
  <si>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</si>
  <si>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</si>
  <si>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</si>
  <si>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</si>
  <si>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</si>
  <si>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</si>
  <si>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</si>
  <si>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</si>
  <si>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</si>
  <si>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</si>
  <si>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</si>
  <si>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</si>
  <si>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</si>
  <si>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</si>
  <si>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</si>
  <si>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</si>
  <si>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</si>
  <si>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</si>
  <si>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</si>
  <si>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</si>
  <si>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</si>
  <si>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</si>
  <si>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</si>
  <si>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</si>
  <si>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</si>
  <si>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</si>
  <si>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</si>
  <si>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</si>
  <si>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</si>
  <si>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</si>
  <si>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</si>
  <si>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</si>
  <si>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</si>
  <si>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</si>
  <si>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</si>
  <si>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</si>
  <si>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</si>
  <si>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</si>
  <si>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</si>
  <si>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</si>
  <si>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</si>
  <si>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</si>
  <si>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</si>
  <si>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</si>
  <si>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</si>
  <si>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</si>
  <si>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</si>
  <si>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</si>
  <si>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</si>
  <si>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</si>
  <si>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</si>
  <si>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</si>
  <si>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</si>
  <si>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</si>
  <si>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</si>
  <si>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</si>
  <si>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</si>
  <si>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</si>
  <si>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</si>
  <si>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</si>
  <si>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</si>
  <si>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</si>
  <si>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</si>
  <si>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</si>
  <si>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</si>
  <si>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</si>
  <si>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</si>
  <si>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</si>
  <si>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</si>
  <si>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</si>
  <si>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</si>
  <si>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</si>
  <si>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</si>
  <si>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</si>
  <si>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</si>
  <si>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</si>
  <si>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</si>
  <si>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</si>
  <si>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</si>
  <si>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</si>
  <si>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</si>
  <si>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</si>
  <si>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</si>
  <si>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</si>
  <si>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</si>
  <si>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</si>
  <si>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</si>
  <si>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</si>
  <si>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</si>
  <si>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</si>
  <si>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</si>
  <si>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</si>
  <si>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</si>
  <si>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</si>
  <si>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</si>
  <si>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</si>
  <si>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</si>
  <si>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</si>
  <si>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</si>
  <si>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</si>
  <si>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</si>
  <si>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</si>
  <si>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</si>
  <si>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</si>
  <si>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</si>
  <si>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</si>
  <si>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</si>
  <si>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</si>
  <si>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</si>
  <si>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</si>
  <si>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</si>
  <si>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</si>
  <si>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</si>
  <si>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</si>
  <si>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</si>
  <si>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</si>
  <si>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</si>
  <si>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</si>
  <si>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</si>
  <si>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</si>
  <si>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</si>
  <si>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</si>
  <si>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</si>
  <si>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</si>
  <si>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</si>
  <si>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</si>
  <si>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</si>
  <si>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</si>
  <si>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</si>
  <si>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</si>
  <si>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</si>
  <si>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</si>
  <si>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</si>
  <si>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</si>
  <si>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</si>
  <si>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</si>
  <si>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</si>
  <si>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</si>
  <si>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</si>
  <si>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</si>
  <si>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</si>
  <si>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</si>
  <si>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</si>
  <si>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</si>
  <si>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</si>
  <si>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</si>
  <si>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</si>
  <si>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</si>
  <si>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</si>
  <si>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</si>
  <si>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</si>
  <si>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</si>
  <si>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</si>
  <si>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</si>
  <si>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</si>
  <si>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</si>
  <si>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</si>
  <si>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</si>
  <si>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</si>
  <si>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</si>
  <si>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</si>
  <si>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</si>
  <si>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</si>
  <si>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</si>
  <si>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</si>
  <si>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</si>
  <si>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</si>
  <si>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</si>
  <si>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</si>
  <si>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</si>
  <si>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</si>
  <si>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</si>
  <si>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</si>
  <si>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</si>
  <si>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</si>
  <si>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</si>
  <si>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</si>
  <si>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</si>
  <si>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</si>
  <si>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</si>
  <si>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Row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</si>
  <si>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</si>
  <si>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</si>
  <si>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</si>
  <si>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</si>
  <si>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</si>
  <si>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</si>
  <si>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</si>
  <si>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</si>
  <si>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</si>
  <si>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</si>
  <si>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</si>
  <si>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</si>
  <si>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</si>
  <si>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</si>
  <si>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</si>
  <si>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</si>
  <si>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</si>
  <si>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</si>
  <si>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</si>
  <si>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</si>
  <si>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</si>
  <si>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</si>
  <si>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</si>
  <si>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</si>
  <si>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</si>
  <si>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</si>
  <si>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</si>
  <si>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</si>
  <si>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</si>
  <si>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</si>
  <si>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</si>
  <si>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</si>
  <si>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</si>
  <si>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</si>
  <si>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</si>
  <si>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</si>
  <si>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</si>
  <si>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</si>
  <si>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</si>
  <si>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</si>
  <si>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</si>
  <si>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</si>
  <si>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</si>
  <si>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</si>
  <si>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</si>
  <si>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</si>
  <si>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</si>
  <si>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</si>
  <si>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</si>
  <si>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</si>
  <si>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</si>
  <si>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</si>
  <si>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</si>
  <si>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</si>
  <si>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</si>
  <si>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</si>
  <si>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</si>
  <si>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</si>
  <si>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</si>
  <si>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</si>
  <si>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</si>
  <si>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</si>
  <si>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</si>
  <si>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</si>
  <si>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</si>
  <si>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</si>
  <si>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</si>
  <si>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</si>
  <si>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</si>
  <si>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</si>
  <si>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</si>
  <si>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</si>
  <si>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</si>
  <si>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</si>
  <si>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</si>
  <si>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</si>
  <si>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</si>
  <si>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</si>
  <si>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</si>
  <si>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</si>
  <si>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</si>
  <si>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</si>
  <si>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</si>
  <si>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</si>
  <si>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</si>
  <si>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</si>
  <si>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</si>
  <si>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</si>
  <si>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</si>
  <si>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</si>
  <si>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</si>
  <si>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</si>
  <si>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</si>
  <si>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</si>
  <si>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</si>
  <si>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</si>
  <si>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</si>
  <si>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</si>
  <si>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</si>
  <si>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</si>
  <si>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</si>
  <si>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</si>
  <si>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</si>
  <si>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</si>
  <si>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</si>
  <si>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</si>
  <si>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</si>
  <si>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</si>
  <si>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</si>
  <si>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</si>
  <si>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</si>
  <si>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</si>
  <si>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</si>
  <si>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</si>
  <si>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</si>
  <si>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</si>
  <si>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</si>
  <si>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</si>
  <si>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</si>
  <si>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</si>
  <si>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</si>
  <si>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</si>
  <si>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</si>
  <si>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</si>
  <si>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</si>
  <si>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</si>
  <si>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</si>
  <si>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</si>
  <si>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</si>
  <si>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</si>
  <si>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</si>
  <si>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</si>
  <si>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</si>
  <si>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</si>
  <si>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</si>
  <si>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</si>
  <si>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</si>
  <si>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</si>
  <si>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</si>
  <si>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</si>
  <si>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</si>
  <si>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</si>
  <si>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</si>
  <si>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</si>
  <si>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</si>
  <si>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</si>
  <si>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</si>
  <si>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</si>
  <si>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</si>
  <si>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</si>
  <si>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</si>
  <si>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</si>
  <si>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</si>
  <si>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</si>
  <si>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</si>
  <si>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</si>
  <si>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</si>
  <si>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</si>
  <si>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</si>
  <si>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</si>
  <si>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</si>
  <si>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</si>
  <si>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</si>
  <si>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</si>
  <si>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</si>
  <si>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</si>
  <si>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</si>
  <si>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</si>
  <si>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</si>
  <si>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</si>
  <si>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</si>
  <si>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</si>
  <si>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</si>
  <si>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</si>
  <si>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</si>
  <si>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</si>
  <si>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</si>
  <si>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</si>
  <si>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</si>
  <si>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</si>
  <si>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</si>
  <si>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</si>
  <si>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</si>
  <si>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</si>
  <si>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</si>
  <si>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</si>
  <si>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</si>
  <si>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</si>
  <si>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</si>
  <si>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</si>
  <si>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</si>
  <si>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</si>
  <si>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</si>
  <si>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</si>
  <si>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</si>
  <si>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</si>
  <si>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</si>
  <si>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</si>
  <si>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</si>
  <si>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</si>
  <si>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</si>
  <si>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</si>
  <si>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</si>
  <si>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</si>
  <si>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</si>
  <si>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</si>
  <si>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</si>
  <si>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</si>
  <si>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</si>
  <si>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</si>
  <si>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</si>
  <si>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</si>
  <si>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</si>
  <si>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</si>
  <si>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</si>
  <si>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</si>
  <si>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</si>
  <si>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</si>
  <si>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</si>
  <si>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</si>
  <si>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</si>
  <si>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</si>
  <si>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</si>
  <si>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</si>
  <si>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</si>
  <si>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</si>
  <si>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</si>
  <si>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</si>
  <si>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</si>
  <si>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</si>
  <si>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</si>
  <si>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</si>
  <si>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</si>
  <si>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</si>
  <si>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</si>
  <si>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</si>
  <si>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</si>
  <si>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</si>
  <si>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</si>
  <si>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</si>
  <si>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</si>
  <si>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</si>
  <si>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</si>
  <si>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</si>
  <si>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</si>
  <si>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</si>
  <si>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</si>
  <si>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</si>
  <si>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</si>
  <si>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</si>
  <si>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</si>
  <si>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</si>
  <si>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</si>
  <si>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</si>
  <si>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</si>
  <si>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</si>
  <si>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</si>
  <si>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</si>
  <si>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</si>
  <si>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</si>
  <si>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</si>
  <si>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</si>
  <si>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</si>
  <si>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</si>
  <si>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</si>
  <si>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</si>
  <si>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</si>
  <si>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</si>
  <si>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</si>
  <si>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</si>
  <si>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</si>
  <si>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</si>
  <si>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</si>
  <si>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</si>
  <si>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Path for saving</t>
  </si>
  <si>
    <t>Python Exe</t>
  </si>
  <si>
    <t>Python Script</t>
  </si>
  <si>
    <t>"C:\Users\kgodyn\Documents\Actom\000 Programme Files D V2.3 M V3.5\launcher.py"</t>
  </si>
  <si>
    <t>"C:\Python310\python.exe"</t>
  </si>
  <si>
    <t>Output PRN Path</t>
  </si>
  <si>
    <t>Design Info File</t>
  </si>
  <si>
    <t>Design File Name</t>
  </si>
  <si>
    <t>C:\Users\kgodyn\Documents\Actom\000 Programme Files D V2.3 M V3.5\input.txt</t>
  </si>
  <si>
    <t>T:\Shared\ACTOM DESP and MOTOR Proto Programme\AA  Proto Input Files</t>
  </si>
  <si>
    <t>User Initials</t>
  </si>
  <si>
    <t>KG__PT</t>
  </si>
  <si>
    <t>2017</t>
  </si>
  <si>
    <t>NewGerry</t>
  </si>
  <si>
    <t>LX7343</t>
  </si>
  <si>
    <t>IS321F6C4</t>
  </si>
  <si>
    <t>BPS0075</t>
  </si>
  <si>
    <t>SASOL SYNFUELS</t>
  </si>
  <si>
    <t>IC411</t>
  </si>
  <si>
    <t>Arms on Shaft</t>
  </si>
  <si>
    <t>lX7293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</si>
</sst>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  <font>
      <b/>
      <sz val="11"/>
      <color rgb="FF3333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1" fillId="0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/>
    <xf numFmtId="0" fontId="0" fillId="5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7" xfId="0" applyFill="1" applyBorder="1" applyAlignment="1"/>
    <xf numFmtId="0" fontId="0" fillId="5" borderId="7" xfId="0" applyFill="1" applyBorder="1" applyAlignment="1">
      <alignment horizontal="right"/>
    </xf>
    <xf numFmtId="0" fontId="1" fillId="2" borderId="8" xfId="0" applyFont="1" applyFill="1" applyBorder="1"/>
    <xf numFmtId="0" fontId="0" fillId="5" borderId="7" xfId="0" applyFill="1" applyBorder="1" applyAlignment="1">
      <alignment horizontal="right" vertical="top"/>
    </xf>
    <xf numFmtId="0" fontId="0" fillId="2" borderId="0" xfId="0" applyFont="1" applyFill="1" applyBorder="1"/>
    <xf numFmtId="0" fontId="4" fillId="2" borderId="3" xfId="0" quotePrefix="1" applyFont="1" applyFill="1" applyBorder="1" applyAlignment="1">
      <alignment horizontal="left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0" borderId="3" xfId="0" applyFont="1" applyBorder="1" applyAlignment="1">
      <alignment horizontal="left"/>
    </xf>
    <xf numFmtId="0" fontId="0" fillId="0" borderId="10" xfId="0" applyBorder="1"/>
    <xf numFmtId="0" fontId="0" fillId="0" borderId="11" xfId="0" applyBorder="1" applyAlignment="1">
      <alignment horizontal="left"/>
    </xf>
    <xf numFmtId="0" fontId="0" fillId="0" borderId="12" xfId="0" applyBorder="1"/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1" xfId="0" applyBorder="1"/>
    <xf numFmtId="0" fontId="0" fillId="5" borderId="15" xfId="0" applyFill="1" applyBorder="1" applyAlignment="1">
      <alignment horizontal="right"/>
    </xf>
    <xf numFmtId="0" fontId="0" fillId="5" borderId="13" xfId="0" applyFill="1" applyBorder="1" applyAlignment="1">
      <alignment horizontal="left"/>
    </xf>
    <xf numFmtId="0" fontId="0" fillId="2" borderId="16" xfId="0" applyFill="1" applyBorder="1"/>
    <xf numFmtId="0" fontId="1" fillId="2" borderId="17" xfId="0" applyFont="1" applyFill="1" applyBorder="1"/>
    <xf numFmtId="0" fontId="0" fillId="0" borderId="0" xfId="0" applyFill="1" applyBorder="1" applyAlignment="1">
      <alignment horizontal="right"/>
    </xf>
    <xf numFmtId="0" fontId="6" fillId="2" borderId="2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2" borderId="16" xfId="0" applyFont="1" applyFill="1" applyBorder="1" applyAlignment="1">
      <alignment horizontal="left"/>
    </xf>
    <xf numFmtId="0" fontId="8" fillId="3" borderId="0" xfId="0" applyFont="1" applyFill="1"/>
  </cellXfs>
  <cellStyles count="1">
    <cellStyle name="Normal" xfId="0" builtinId="0"/>
  </cellStyles>
  <dxfs count="8"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5A33"/>
      <color rgb="FFFF4B4B"/>
      <color rgb="FF00FF00"/>
      <color rgb="FF3333FF"/>
      <color rgb="FF00CC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104774</xdr:rowOff>
    </xdr:from>
    <xdr:to>
      <xdr:col>1</xdr:col>
      <xdr:colOff>1104900</xdr:colOff>
      <xdr:row>3</xdr:row>
      <xdr:rowOff>76199</xdr:rowOff>
    </xdr:to>
    <xdr:sp macro="[0]!_xludf.run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733425" y="295274"/>
          <a:ext cx="1095375" cy="3524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rgbClr val="00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/>
  <dimension ref="A1:AX709"/>
  <sheetViews>
    <sheetView workbookViewId="0">
      <pane ySplit="8" topLeftCell="A9" activePane="bottomLeft" state="frozen"/>
      <selection pane="bottomLeft" activeCell="A11" sqref="A11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50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50" x14ac:dyDescent="0.25">
      <c r="A2" s="1"/>
      <c r="B2" s="1"/>
      <c r="C2" s="1"/>
      <c r="D2" s="1" t="s">
        <v>969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968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  <c r="AM2" t="s">
        <v>1749</v>
      </c>
      <c r="AO2" s="58" t="s">
        <v>1750</v>
      </c>
      <c r="AP2" s="58"/>
      <c r="AQ2" s="58"/>
      <c r="AR2" s="58"/>
      <c r="AS2" s="58"/>
      <c r="AT2" s="58"/>
      <c r="AU2" s="58"/>
      <c r="AV2" s="58"/>
      <c r="AW2" s="58"/>
      <c r="AX2" s="58"/>
    </row>
    <row r="3" spans="1:50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1751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  <c r="AM3" t="s">
        <v>1746</v>
      </c>
      <c r="AO3" s="10" t="str">
        <f>IF(S6="",S3,S6)&amp;".csv"</f>
        <v>NewGerry.csv</v>
      </c>
      <c r="AP3" s="10"/>
      <c r="AQ3" s="10"/>
      <c r="AR3" s="10"/>
      <c r="AS3" s="10"/>
      <c r="AT3" s="10"/>
      <c r="AU3" s="10"/>
      <c r="AV3" s="10"/>
      <c r="AW3" s="10"/>
      <c r="AX3" s="10"/>
    </row>
    <row r="4" spans="1:50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M4" t="s">
        <v>1745</v>
      </c>
      <c r="AO4" s="10" t="s">
        <v>1747</v>
      </c>
      <c r="AP4" s="10"/>
      <c r="AQ4" s="10"/>
      <c r="AR4" s="10"/>
      <c r="AS4" s="10"/>
      <c r="AT4" s="10"/>
      <c r="AU4" s="10"/>
      <c r="AV4" s="10"/>
      <c r="AW4" s="10"/>
      <c r="AX4" s="10"/>
    </row>
    <row r="5" spans="1:5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1443</v>
      </c>
      <c r="T5" s="7"/>
      <c r="U5" s="7"/>
      <c r="V5" s="4"/>
      <c r="W5" s="4"/>
      <c r="X5" s="4"/>
      <c r="Y5" s="4"/>
      <c r="Z5" s="4"/>
      <c r="AA5" s="7" t="s">
        <v>967</v>
      </c>
      <c r="AB5" s="7"/>
      <c r="AC5" s="7"/>
      <c r="AD5" s="7"/>
      <c r="AE5" s="7"/>
      <c r="AF5" s="7"/>
      <c r="AG5" s="10"/>
      <c r="AH5" s="10"/>
      <c r="AI5" s="10"/>
      <c r="AJ5" s="10"/>
      <c r="AM5" t="s">
        <v>1744</v>
      </c>
      <c r="AO5" s="10" t="str">
        <f>"T:\Shared\ACTOM DESP and MOTOR Proto Programme\CC Proto Motor Output Files\" &amp; AO2 &amp; ".PRN"</f>
        <v>T:\Shared\ACTOM DESP and MOTOR Proto Programme\CC Proto Motor Output Files\KG__PT.PRN</v>
      </c>
      <c r="AP5" s="10"/>
      <c r="AQ5" s="10"/>
      <c r="AR5" s="10"/>
      <c r="AS5" s="10"/>
      <c r="AT5" s="10"/>
      <c r="AU5" s="10"/>
      <c r="AV5" s="10"/>
      <c r="AW5" s="10"/>
      <c r="AX5" s="10"/>
    </row>
    <row r="6" spans="1:50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 t="s">
        <v>1752</v>
      </c>
      <c r="T6" s="7"/>
      <c r="U6" s="7"/>
      <c r="V6" s="4"/>
      <c r="W6" s="4"/>
      <c r="X6" s="4"/>
      <c r="Y6" s="52" t="s">
        <v>970</v>
      </c>
      <c r="Z6" s="52"/>
      <c r="AA6" s="11" t="s">
        <v>1748</v>
      </c>
      <c r="AB6" s="7"/>
      <c r="AC6" s="7"/>
      <c r="AD6" s="7"/>
      <c r="AE6" s="7"/>
      <c r="AF6" s="7"/>
      <c r="AG6" s="10"/>
      <c r="AH6" s="10"/>
      <c r="AI6" s="10"/>
      <c r="AJ6" s="10"/>
      <c r="AM6" t="s">
        <v>1740</v>
      </c>
      <c r="AO6" s="10" t="s">
        <v>1743</v>
      </c>
      <c r="AP6" s="10"/>
      <c r="AQ6" s="10"/>
      <c r="AR6" s="10"/>
      <c r="AS6" s="10"/>
      <c r="AT6" s="10"/>
      <c r="AU6" s="10"/>
      <c r="AV6" s="10"/>
      <c r="AW6" s="10"/>
      <c r="AX6" s="10"/>
    </row>
    <row r="7" spans="1:50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52" t="s">
        <v>1445</v>
      </c>
      <c r="Z7" s="52"/>
      <c r="AA7" s="14" t="str">
        <f xml:space="preserve"> AA6 &amp; "\" &amp; S3 &amp; ".csv"</f>
        <v>T:\Shared\ACTOM DESP and MOTOR Proto Programme\AA  Proto Input Files\2017.csv</v>
      </c>
      <c r="AB7" s="7"/>
      <c r="AC7" s="7"/>
      <c r="AD7" s="7"/>
      <c r="AE7" s="7"/>
      <c r="AF7" s="7"/>
      <c r="AG7" s="10"/>
      <c r="AH7" s="10"/>
      <c r="AI7" s="10"/>
      <c r="AJ7" s="10"/>
      <c r="AM7" t="s">
        <v>1741</v>
      </c>
      <c r="AO7" s="10" t="s">
        <v>1742</v>
      </c>
      <c r="AP7" s="10"/>
      <c r="AQ7" s="10"/>
      <c r="AR7" s="10"/>
      <c r="AS7" s="10"/>
      <c r="AT7" s="10"/>
      <c r="AU7" s="10"/>
      <c r="AV7" s="10"/>
      <c r="AW7" s="10"/>
      <c r="AX7" s="10"/>
    </row>
    <row r="8" spans="1:50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52" t="s">
        <v>1446</v>
      </c>
      <c r="Z8" s="52"/>
      <c r="AA8" s="7" t="str">
        <f xml:space="preserve"> AA6 &amp; "\" &amp; $S$6 &amp; ".csv"</f>
        <v>T:\Shared\ACTOM DESP and MOTOR Proto Programme\AA  Proto Input Files\NewGerry.csv</v>
      </c>
      <c r="AB8" s="7"/>
      <c r="AC8" s="7"/>
      <c r="AD8" s="7"/>
      <c r="AE8" s="7"/>
      <c r="AF8" s="7"/>
      <c r="AG8" s="10"/>
      <c r="AH8" s="10"/>
      <c r="AI8" s="10"/>
      <c r="AJ8" s="10"/>
      <c r="AM8" s="1" t="s">
        <v>1739</v>
      </c>
      <c r="AN8" s="1"/>
      <c r="AO8" s="10" t="str">
        <f>AA6&amp;"\"&amp;IF(S6="",S3,S6)&amp;".csv"</f>
        <v>T:\Shared\ACTOM DESP and MOTOR Proto Programme\AA  Proto Input Files\NewGerry.csv</v>
      </c>
      <c r="AP8" s="10"/>
      <c r="AQ8" s="10"/>
      <c r="AR8" s="10"/>
      <c r="AS8" s="10"/>
      <c r="AT8" s="10"/>
      <c r="AU8" s="10"/>
      <c r="AV8" s="10"/>
      <c r="AW8" s="10"/>
      <c r="AX8" s="10"/>
    </row>
    <row r="9" spans="1:50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50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50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50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50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50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50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50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969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S799"/>
  <sheetViews>
    <sheetView tabSelected="1" zoomScale="95" zoomScaleNormal="95" workbookViewId="0">
      <pane ySplit="7" topLeftCell="A208" activePane="bottomLeft" state="frozen"/>
      <selection pane="bottomLeft" activeCell="B6" sqref="B6"/>
    </sheetView>
  </sheetViews>
  <sheetFormatPr defaultRowHeight="15" x14ac:dyDescent="0.25"/>
  <cols>
    <col min="1" max="1" width="10.85546875" style="16" customWidth="1"/>
    <col min="2" max="2" width="17" style="15" customWidth="1"/>
    <col min="3" max="3" width="10.42578125" customWidth="1"/>
    <col min="17" max="17" width="9.42578125" customWidth="1"/>
    <col min="19" max="19" width="12.5703125" customWidth="1"/>
  </cols>
  <sheetData>
    <row r="1" spans="1:19" ht="15.75" x14ac:dyDescent="0.25">
      <c r="A1" s="34" t="str">
        <f>IF('Designs Log'!S6&lt;&gt;"",'Designs Log'!S6,'Designs Log'!S3)</f>
        <v>NewGerry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6"/>
      <c r="Q1" s="4"/>
      <c r="R1" s="3"/>
    </row>
    <row r="2" spans="1:19" x14ac:dyDescent="0.25">
      <c r="A2" s="27"/>
      <c r="B2" s="28"/>
      <c r="C2" s="22"/>
      <c r="D2" s="22"/>
      <c r="E2" s="22"/>
      <c r="F2" s="22"/>
      <c r="G2" s="22"/>
      <c r="H2" s="22"/>
      <c r="I2" s="22"/>
      <c r="J2" s="22"/>
      <c r="K2" s="22"/>
      <c r="L2" s="39"/>
      <c r="M2" s="39"/>
      <c r="N2" s="35"/>
      <c r="O2" s="35"/>
      <c r="P2" s="35"/>
      <c r="Q2" s="4"/>
      <c r="R2" s="3"/>
    </row>
    <row r="3" spans="1:19" x14ac:dyDescent="0.25">
      <c r="A3" s="27"/>
      <c r="B3" s="28"/>
      <c r="C3" s="22"/>
      <c r="D3" s="22"/>
      <c r="E3" s="22"/>
      <c r="F3" s="22"/>
      <c r="G3" s="22"/>
      <c r="H3" s="22"/>
      <c r="I3" s="22"/>
      <c r="J3" s="22"/>
      <c r="K3" s="22"/>
      <c r="L3" s="39"/>
      <c r="M3" s="39"/>
      <c r="N3" s="35" t="s">
        <v>1450</v>
      </c>
      <c r="O3" s="37" t="b">
        <v>1</v>
      </c>
      <c r="P3" s="38"/>
      <c r="Q3" s="4"/>
      <c r="R3" s="3"/>
    </row>
    <row r="4" spans="1:19" x14ac:dyDescent="0.25">
      <c r="A4" s="27"/>
      <c r="B4" s="28"/>
      <c r="C4" s="22"/>
      <c r="D4" s="22"/>
      <c r="E4" s="33"/>
      <c r="F4" s="22"/>
      <c r="G4" s="22"/>
      <c r="H4" s="22"/>
      <c r="I4" s="22"/>
      <c r="J4" s="22"/>
      <c r="K4" s="22"/>
      <c r="L4" s="39"/>
      <c r="M4" s="39"/>
      <c r="N4" s="35"/>
      <c r="O4" s="35"/>
      <c r="P4" s="35"/>
      <c r="Q4" s="4"/>
      <c r="R4" s="41" t="s">
        <v>1466</v>
      </c>
    </row>
    <row r="5" spans="1:19" ht="15.75" x14ac:dyDescent="0.25">
      <c r="A5" s="27"/>
      <c r="B5" s="55" t="str">
        <f ca="1">M7 &amp; " : " &amp; L7</f>
        <v>wdrag : 1.6</v>
      </c>
      <c r="C5" s="55"/>
      <c r="D5" s="18"/>
      <c r="E5" s="18"/>
      <c r="F5" s="22"/>
      <c r="G5" s="22"/>
      <c r="H5" s="22"/>
      <c r="I5" s="22"/>
      <c r="J5" s="22"/>
      <c r="K5" s="22"/>
      <c r="L5" s="39"/>
      <c r="M5" s="39"/>
      <c r="N5" s="35"/>
      <c r="O5" s="35"/>
      <c r="P5" s="36" t="str">
        <f>"$B$" &amp; P6</f>
        <v>$B$211</v>
      </c>
      <c r="Q5" s="4"/>
      <c r="R5" s="42">
        <f>COUNT(R8:R245) + 7</f>
        <v>245</v>
      </c>
    </row>
    <row r="6" spans="1:19" ht="15.75" x14ac:dyDescent="0.25">
      <c r="A6" s="29"/>
      <c r="B6" s="40"/>
      <c r="C6" s="53"/>
      <c r="D6" s="54"/>
      <c r="E6" s="54"/>
      <c r="F6" s="54"/>
      <c r="G6" s="22"/>
      <c r="H6" s="22"/>
      <c r="I6" s="22"/>
      <c r="J6" s="22"/>
      <c r="K6" s="22"/>
      <c r="L6" s="39"/>
      <c r="M6" s="39"/>
      <c r="N6" s="35" t="s">
        <v>1448</v>
      </c>
      <c r="O6" s="35" t="b">
        <f ca="1">ISERROR(O7)</f>
        <v>0</v>
      </c>
      <c r="P6" s="36">
        <f>LOOKUP(1,Q8:Q245,R8:R245)</f>
        <v>211</v>
      </c>
      <c r="Q6" s="4"/>
      <c r="R6" s="3"/>
    </row>
    <row r="7" spans="1:19" x14ac:dyDescent="0.25">
      <c r="A7" s="27"/>
      <c r="B7" s="28"/>
      <c r="C7" s="22"/>
      <c r="D7" s="22"/>
      <c r="E7" s="22"/>
      <c r="F7" s="22"/>
      <c r="G7" s="22"/>
      <c r="H7" s="22"/>
      <c r="I7" s="22"/>
      <c r="J7" s="22"/>
      <c r="K7" s="22"/>
      <c r="L7" s="35">
        <f ca="1">INDIRECT(P5)</f>
        <v>1.6</v>
      </c>
      <c r="M7" s="35" t="s">
        <v>1700</v>
      </c>
      <c r="N7" s="35" t="s">
        <v>1449</v>
      </c>
      <c r="O7" s="35" t="str">
        <f ca="1">CELL("address",INDEX(Q8:Q245,MATCH(1,Q8:Q245,0),0))</f>
        <v>$Q$211</v>
      </c>
      <c r="P7" s="36" t="str">
        <f>M7 &amp; " : "</f>
        <v xml:space="preserve">wdrag : </v>
      </c>
      <c r="Q7" s="4"/>
      <c r="R7" s="41" t="s">
        <v>1464</v>
      </c>
      <c r="S7" s="43" t="s">
        <v>1465</v>
      </c>
    </row>
    <row r="8" spans="1:19" x14ac:dyDescent="0.25">
      <c r="A8" s="30" t="s">
        <v>1447</v>
      </c>
      <c r="B8" s="23" t="s">
        <v>21</v>
      </c>
      <c r="C8" s="22"/>
      <c r="D8" s="56" t="s">
        <v>1178</v>
      </c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31"/>
      <c r="Q8" s="3" t="str">
        <f>IF($P$7=A8,1,"")</f>
        <v/>
      </c>
      <c r="R8" s="46">
        <v>8</v>
      </c>
      <c r="S8" s="44" t="b">
        <f>ISTEXT(B8)</f>
        <v>1</v>
      </c>
    </row>
    <row r="9" spans="1:19" x14ac:dyDescent="0.25">
      <c r="A9" s="30" t="s">
        <v>1219</v>
      </c>
      <c r="B9" s="23" t="s">
        <v>22</v>
      </c>
      <c r="C9" s="22"/>
      <c r="D9" s="56" t="s">
        <v>971</v>
      </c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31"/>
      <c r="Q9" s="3" t="str">
        <f t="shared" ref="Q9:Q72" si="0">IF($P$7=A9,1,"")</f>
        <v/>
      </c>
      <c r="R9" s="46">
        <v>9</v>
      </c>
      <c r="S9" s="44" t="b">
        <f>ISTEXT(B9)</f>
        <v>1</v>
      </c>
    </row>
    <row r="10" spans="1:19" x14ac:dyDescent="0.25">
      <c r="A10" s="30" t="s">
        <v>1220</v>
      </c>
      <c r="B10" s="23" t="s">
        <v>1753</v>
      </c>
      <c r="C10" s="22"/>
      <c r="D10" s="56" t="s">
        <v>972</v>
      </c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31"/>
      <c r="Q10" s="3" t="str">
        <f t="shared" si="0"/>
        <v/>
      </c>
      <c r="R10" s="46">
        <v>10</v>
      </c>
      <c r="S10" s="44" t="b">
        <f>ISTEXT(B10)</f>
        <v>1</v>
      </c>
    </row>
    <row r="11" spans="1:19" x14ac:dyDescent="0.25">
      <c r="A11" s="30" t="s">
        <v>1221</v>
      </c>
      <c r="B11" s="23">
        <v>0</v>
      </c>
      <c r="C11" s="22"/>
      <c r="D11" s="56" t="s">
        <v>1179</v>
      </c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31"/>
      <c r="Q11" s="3" t="str">
        <f t="shared" si="0"/>
        <v/>
      </c>
      <c r="R11" s="46">
        <v>11</v>
      </c>
      <c r="S11" s="44" t="b">
        <f>OR(B11=0,B11=1)</f>
        <v>1</v>
      </c>
    </row>
    <row r="12" spans="1:19" x14ac:dyDescent="0.25">
      <c r="A12" s="30" t="s">
        <v>1222</v>
      </c>
      <c r="B12" s="23" t="s">
        <v>23</v>
      </c>
      <c r="C12" s="22"/>
      <c r="D12" s="56" t="s">
        <v>1180</v>
      </c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31"/>
      <c r="Q12" s="3" t="str">
        <f t="shared" si="0"/>
        <v/>
      </c>
      <c r="R12" s="46">
        <v>12</v>
      </c>
      <c r="S12" s="44" t="b">
        <f>ISTEXT(B12)</f>
        <v>1</v>
      </c>
    </row>
    <row r="13" spans="1:19" x14ac:dyDescent="0.25">
      <c r="A13" s="30" t="s">
        <v>1223</v>
      </c>
      <c r="B13" s="23">
        <v>185</v>
      </c>
      <c r="C13" s="22" t="s">
        <v>1476</v>
      </c>
      <c r="D13" s="56" t="s">
        <v>973</v>
      </c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31"/>
      <c r="Q13" s="3" t="str">
        <f t="shared" si="0"/>
        <v/>
      </c>
      <c r="R13" s="46">
        <v>13</v>
      </c>
      <c r="S13" s="44" t="b">
        <f>AND(INT(B13)/B13=1,B13&gt;0)</f>
        <v>1</v>
      </c>
    </row>
    <row r="14" spans="1:19" x14ac:dyDescent="0.25">
      <c r="A14" s="30" t="s">
        <v>1224</v>
      </c>
      <c r="B14" s="23">
        <v>4</v>
      </c>
      <c r="C14" s="22"/>
      <c r="D14" s="56" t="s">
        <v>974</v>
      </c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31"/>
      <c r="Q14" s="3" t="str">
        <f t="shared" si="0"/>
        <v/>
      </c>
      <c r="R14" s="46">
        <v>14</v>
      </c>
      <c r="S14" s="44" t="b">
        <f>AND(ISEVEN(B14),B14&gt;=2)</f>
        <v>1</v>
      </c>
    </row>
    <row r="15" spans="1:19" x14ac:dyDescent="0.25">
      <c r="A15" s="30" t="s">
        <v>1225</v>
      </c>
      <c r="B15" s="23">
        <v>6600</v>
      </c>
      <c r="C15" s="22" t="s">
        <v>1477</v>
      </c>
      <c r="D15" s="56" t="s">
        <v>975</v>
      </c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31"/>
      <c r="Q15" s="3" t="str">
        <f t="shared" si="0"/>
        <v/>
      </c>
      <c r="R15" s="46">
        <v>15</v>
      </c>
      <c r="S15" s="44" t="b">
        <f>AND(ISNUMBER(B15),B15&gt;0)</f>
        <v>1</v>
      </c>
    </row>
    <row r="16" spans="1:19" x14ac:dyDescent="0.25">
      <c r="A16" s="30" t="s">
        <v>1226</v>
      </c>
      <c r="B16" s="23">
        <v>50</v>
      </c>
      <c r="C16" s="22" t="s">
        <v>1478</v>
      </c>
      <c r="D16" s="56" t="s">
        <v>976</v>
      </c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31"/>
      <c r="Q16" s="3" t="str">
        <f t="shared" si="0"/>
        <v/>
      </c>
      <c r="R16" s="46">
        <v>16</v>
      </c>
      <c r="S16" s="44" t="b">
        <f>OR(B16=50,B16=60)</f>
        <v>1</v>
      </c>
    </row>
    <row r="17" spans="1:19" x14ac:dyDescent="0.25">
      <c r="A17" s="30" t="s">
        <v>1227</v>
      </c>
      <c r="B17" s="23">
        <v>3</v>
      </c>
      <c r="C17" s="22"/>
      <c r="D17" s="56" t="s">
        <v>977</v>
      </c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31"/>
      <c r="Q17" s="3" t="str">
        <f t="shared" si="0"/>
        <v/>
      </c>
      <c r="R17" s="46">
        <v>17</v>
      </c>
      <c r="S17" s="44" t="b">
        <f>B17=3</f>
        <v>1</v>
      </c>
    </row>
    <row r="18" spans="1:19" x14ac:dyDescent="0.25">
      <c r="A18" s="30" t="s">
        <v>1228</v>
      </c>
      <c r="B18" s="23">
        <v>0</v>
      </c>
      <c r="C18" s="22"/>
      <c r="D18" s="56" t="s">
        <v>1181</v>
      </c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31"/>
      <c r="Q18" s="3" t="str">
        <f t="shared" si="0"/>
        <v/>
      </c>
      <c r="R18" s="46">
        <v>18</v>
      </c>
      <c r="S18" s="44" t="b">
        <f>OR(B18=0,B18=1)</f>
        <v>1</v>
      </c>
    </row>
    <row r="19" spans="1:19" x14ac:dyDescent="0.25">
      <c r="A19" s="30" t="s">
        <v>1229</v>
      </c>
      <c r="B19" s="23" t="s">
        <v>16</v>
      </c>
      <c r="C19" s="22"/>
      <c r="D19" s="56" t="s">
        <v>978</v>
      </c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31"/>
      <c r="Q19" s="3" t="str">
        <f t="shared" si="0"/>
        <v/>
      </c>
      <c r="R19" s="46">
        <v>19</v>
      </c>
      <c r="S19" s="44" t="b">
        <f>OR(B19="F",B19="H")</f>
        <v>1</v>
      </c>
    </row>
    <row r="20" spans="1:19" x14ac:dyDescent="0.25">
      <c r="A20" s="30" t="s">
        <v>1230</v>
      </c>
      <c r="B20" s="23">
        <v>550</v>
      </c>
      <c r="C20" s="22" t="s">
        <v>1479</v>
      </c>
      <c r="D20" s="56" t="s">
        <v>979</v>
      </c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31"/>
      <c r="Q20" s="3" t="str">
        <f t="shared" si="0"/>
        <v/>
      </c>
      <c r="R20" s="46">
        <v>20</v>
      </c>
      <c r="S20" s="44" t="b">
        <f>AND(ISNUMBER(B20),B20&gt;0)</f>
        <v>1</v>
      </c>
    </row>
    <row r="21" spans="1:19" x14ac:dyDescent="0.25">
      <c r="A21" s="30" t="s">
        <v>1231</v>
      </c>
      <c r="B21" s="23">
        <v>330</v>
      </c>
      <c r="C21" s="22" t="s">
        <v>1479</v>
      </c>
      <c r="D21" s="56" t="s">
        <v>980</v>
      </c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31"/>
      <c r="Q21" s="3" t="str">
        <f t="shared" si="0"/>
        <v/>
      </c>
      <c r="R21" s="46">
        <v>21</v>
      </c>
      <c r="S21" s="44" t="b">
        <f>AND(B21&gt;0,ISNUMBER(B21))</f>
        <v>1</v>
      </c>
    </row>
    <row r="22" spans="1:19" x14ac:dyDescent="0.25">
      <c r="A22" s="30" t="s">
        <v>1232</v>
      </c>
      <c r="B22" s="23">
        <v>350</v>
      </c>
      <c r="C22" s="22" t="s">
        <v>1479</v>
      </c>
      <c r="D22" s="56" t="s">
        <v>981</v>
      </c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31"/>
      <c r="Q22" s="3" t="str">
        <f t="shared" si="0"/>
        <v/>
      </c>
      <c r="R22" s="46">
        <v>22</v>
      </c>
      <c r="S22" s="44" t="b">
        <f>AND(ISNUMBER(B22),B22&gt;0)</f>
        <v>1</v>
      </c>
    </row>
    <row r="23" spans="1:19" x14ac:dyDescent="0.25">
      <c r="A23" s="30" t="s">
        <v>1233</v>
      </c>
      <c r="B23" s="23">
        <v>0</v>
      </c>
      <c r="C23" s="22"/>
      <c r="D23" s="56" t="s">
        <v>982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31"/>
      <c r="Q23" s="3" t="str">
        <f t="shared" si="0"/>
        <v/>
      </c>
      <c r="R23" s="46">
        <v>23</v>
      </c>
      <c r="S23" s="44" t="b">
        <f>B23=0</f>
        <v>1</v>
      </c>
    </row>
    <row r="24" spans="1:19" x14ac:dyDescent="0.25">
      <c r="A24" s="30" t="s">
        <v>1234</v>
      </c>
      <c r="B24" s="23">
        <v>0</v>
      </c>
      <c r="C24" s="22" t="s">
        <v>1479</v>
      </c>
      <c r="D24" s="56" t="s">
        <v>983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31"/>
      <c r="Q24" s="3" t="str">
        <f t="shared" si="0"/>
        <v/>
      </c>
      <c r="R24" s="46">
        <v>24</v>
      </c>
      <c r="S24" s="44" t="b">
        <f>B24=0</f>
        <v>1</v>
      </c>
    </row>
    <row r="25" spans="1:19" x14ac:dyDescent="0.25">
      <c r="A25" s="30" t="s">
        <v>1235</v>
      </c>
      <c r="B25" s="23">
        <v>0.95</v>
      </c>
      <c r="C25" s="22"/>
      <c r="D25" s="56" t="s">
        <v>984</v>
      </c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31"/>
      <c r="Q25" s="3" t="str">
        <f t="shared" si="0"/>
        <v/>
      </c>
      <c r="R25" s="46">
        <v>25</v>
      </c>
      <c r="S25" s="44" t="b">
        <f>AND(ISNUMBER(B25),B25&gt;0)</f>
        <v>1</v>
      </c>
    </row>
    <row r="26" spans="1:19" x14ac:dyDescent="0.25">
      <c r="A26" s="30" t="s">
        <v>1236</v>
      </c>
      <c r="B26" s="23" t="s">
        <v>985</v>
      </c>
      <c r="C26" s="22"/>
      <c r="D26" s="56" t="s">
        <v>1182</v>
      </c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31"/>
      <c r="Q26" s="3" t="str">
        <f t="shared" si="0"/>
        <v/>
      </c>
      <c r="R26" s="46">
        <v>26</v>
      </c>
      <c r="S26" s="44" t="b">
        <f>OR(B26="S",B26="D")</f>
        <v>1</v>
      </c>
    </row>
    <row r="27" spans="1:19" x14ac:dyDescent="0.25">
      <c r="A27" s="30" t="s">
        <v>1237</v>
      </c>
      <c r="B27" s="23">
        <v>1</v>
      </c>
      <c r="C27" s="22"/>
      <c r="D27" s="56" t="s">
        <v>986</v>
      </c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31"/>
      <c r="Q27" s="3" t="str">
        <f t="shared" si="0"/>
        <v/>
      </c>
      <c r="R27" s="46">
        <v>27</v>
      </c>
      <c r="S27" s="44" t="b">
        <f>MOD(B14,B27)=0</f>
        <v>1</v>
      </c>
    </row>
    <row r="28" spans="1:19" x14ac:dyDescent="0.25">
      <c r="A28" s="30" t="s">
        <v>1238</v>
      </c>
      <c r="B28" s="23" t="s">
        <v>987</v>
      </c>
      <c r="C28" s="22"/>
      <c r="D28" s="56" t="s">
        <v>988</v>
      </c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31"/>
      <c r="Q28" s="3" t="str">
        <f t="shared" si="0"/>
        <v/>
      </c>
      <c r="R28" s="46">
        <v>28</v>
      </c>
      <c r="S28" s="44" t="b">
        <f>OR(B28="l",B28="w",B28="p")</f>
        <v>1</v>
      </c>
    </row>
    <row r="29" spans="1:19" x14ac:dyDescent="0.25">
      <c r="A29" s="30" t="s">
        <v>1239</v>
      </c>
      <c r="B29" s="23">
        <v>0</v>
      </c>
      <c r="C29" s="22" t="s">
        <v>1479</v>
      </c>
      <c r="D29" s="56" t="s">
        <v>989</v>
      </c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31"/>
      <c r="Q29" s="3" t="str">
        <f t="shared" si="0"/>
        <v/>
      </c>
      <c r="R29" s="46">
        <v>29</v>
      </c>
      <c r="S29" s="44" t="b">
        <f>AND(ISNUMBER(B29),B29&gt;=0)</f>
        <v>1</v>
      </c>
    </row>
    <row r="30" spans="1:19" x14ac:dyDescent="0.25">
      <c r="A30" s="30" t="s">
        <v>1240</v>
      </c>
      <c r="B30" s="23">
        <v>1</v>
      </c>
      <c r="C30" s="22"/>
      <c r="D30" s="56" t="s">
        <v>1183</v>
      </c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31"/>
      <c r="Q30" s="3" t="str">
        <f t="shared" si="0"/>
        <v/>
      </c>
      <c r="R30" s="46">
        <v>30</v>
      </c>
      <c r="S30" s="44" t="b">
        <f>OR(B30=1,B30=2,B30=-1)</f>
        <v>1</v>
      </c>
    </row>
    <row r="31" spans="1:19" x14ac:dyDescent="0.25">
      <c r="A31" s="30" t="s">
        <v>1241</v>
      </c>
      <c r="B31" s="23">
        <v>7</v>
      </c>
      <c r="C31" s="22" t="s">
        <v>1479</v>
      </c>
      <c r="D31" s="56" t="s">
        <v>990</v>
      </c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31"/>
      <c r="Q31" s="3" t="str">
        <f t="shared" si="0"/>
        <v/>
      </c>
      <c r="R31" s="46">
        <v>31</v>
      </c>
      <c r="S31" s="44" t="b">
        <f>AND(ISNUMBER(B31),B31&gt;=0)</f>
        <v>1</v>
      </c>
    </row>
    <row r="32" spans="1:19" x14ac:dyDescent="0.25">
      <c r="A32" s="30" t="s">
        <v>1242</v>
      </c>
      <c r="B32" s="23">
        <v>20</v>
      </c>
      <c r="C32" s="22" t="s">
        <v>1479</v>
      </c>
      <c r="D32" s="56" t="s">
        <v>991</v>
      </c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31"/>
      <c r="Q32" s="3" t="str">
        <f t="shared" si="0"/>
        <v/>
      </c>
      <c r="R32" s="46">
        <v>32</v>
      </c>
      <c r="S32" s="44" t="b">
        <f>AND(ISNUMBER(B32),B32&gt;=0)</f>
        <v>1</v>
      </c>
    </row>
    <row r="33" spans="1:19" x14ac:dyDescent="0.25">
      <c r="A33" s="30" t="s">
        <v>1243</v>
      </c>
      <c r="B33" s="23">
        <v>48</v>
      </c>
      <c r="C33" s="22"/>
      <c r="D33" s="56" t="s">
        <v>992</v>
      </c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31"/>
      <c r="Q33" s="3" t="str">
        <f t="shared" si="0"/>
        <v/>
      </c>
      <c r="R33" s="46">
        <v>33</v>
      </c>
      <c r="S33" s="44" t="b">
        <f>AND(ISEVEN(B33),ISNUMBER(B33),B33&gt;=48)</f>
        <v>1</v>
      </c>
    </row>
    <row r="34" spans="1:19" x14ac:dyDescent="0.25">
      <c r="A34" s="30" t="s">
        <v>1244</v>
      </c>
      <c r="B34" s="23">
        <v>11</v>
      </c>
      <c r="C34" s="22"/>
      <c r="D34" s="56" t="s">
        <v>993</v>
      </c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31"/>
      <c r="Q34" s="3" t="str">
        <f t="shared" si="0"/>
        <v/>
      </c>
      <c r="R34" s="46">
        <v>34</v>
      </c>
      <c r="S34" s="44" t="b">
        <f>AND(ISNUMBER(B34),B34&gt;0)</f>
        <v>1</v>
      </c>
    </row>
    <row r="35" spans="1:19" x14ac:dyDescent="0.25">
      <c r="A35" s="30" t="s">
        <v>1245</v>
      </c>
      <c r="B35" s="23">
        <v>2</v>
      </c>
      <c r="C35" s="22"/>
      <c r="D35" s="56" t="s">
        <v>994</v>
      </c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31"/>
      <c r="Q35" s="3" t="str">
        <f t="shared" si="0"/>
        <v/>
      </c>
      <c r="R35" s="46">
        <v>35</v>
      </c>
      <c r="S35" s="44" t="b">
        <f>OR(B35=1,B35=2,B35&gt;0)</f>
        <v>1</v>
      </c>
    </row>
    <row r="36" spans="1:19" x14ac:dyDescent="0.25">
      <c r="A36" s="30" t="s">
        <v>1246</v>
      </c>
      <c r="B36" s="23">
        <v>24</v>
      </c>
      <c r="C36" s="22"/>
      <c r="D36" s="56" t="s">
        <v>995</v>
      </c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31"/>
      <c r="Q36" s="3" t="str">
        <f t="shared" si="0"/>
        <v/>
      </c>
      <c r="R36" s="46">
        <v>36</v>
      </c>
      <c r="S36" s="44" t="b">
        <f t="shared" ref="S36:S41" si="1">AND(ISNUMBER(B36),B36&gt;0)</f>
        <v>1</v>
      </c>
    </row>
    <row r="37" spans="1:19" x14ac:dyDescent="0.25">
      <c r="A37" s="30" t="s">
        <v>1247</v>
      </c>
      <c r="B37" s="23">
        <v>12</v>
      </c>
      <c r="C37" s="22" t="s">
        <v>1479</v>
      </c>
      <c r="D37" s="56" t="s">
        <v>996</v>
      </c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31"/>
      <c r="Q37" s="3" t="str">
        <f t="shared" si="0"/>
        <v/>
      </c>
      <c r="R37" s="46">
        <v>37</v>
      </c>
      <c r="S37" s="44" t="b">
        <f t="shared" si="1"/>
        <v>1</v>
      </c>
    </row>
    <row r="38" spans="1:19" x14ac:dyDescent="0.25">
      <c r="A38" s="30" t="s">
        <v>1248</v>
      </c>
      <c r="B38" s="23">
        <v>12</v>
      </c>
      <c r="C38" s="22" t="s">
        <v>1479</v>
      </c>
      <c r="D38" s="56" t="s">
        <v>997</v>
      </c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31"/>
      <c r="Q38" s="3" t="str">
        <f t="shared" si="0"/>
        <v/>
      </c>
      <c r="R38" s="46">
        <v>38</v>
      </c>
      <c r="S38" s="44" t="b">
        <f t="shared" si="1"/>
        <v>1</v>
      </c>
    </row>
    <row r="39" spans="1:19" x14ac:dyDescent="0.25">
      <c r="A39" s="30" t="s">
        <v>1249</v>
      </c>
      <c r="B39" s="23">
        <v>59</v>
      </c>
      <c r="C39" s="22" t="s">
        <v>1479</v>
      </c>
      <c r="D39" s="56" t="s">
        <v>998</v>
      </c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31"/>
      <c r="Q39" s="3" t="str">
        <f t="shared" si="0"/>
        <v/>
      </c>
      <c r="R39" s="46">
        <v>39</v>
      </c>
      <c r="S39" s="44" t="b">
        <f t="shared" si="1"/>
        <v>1</v>
      </c>
    </row>
    <row r="40" spans="1:19" x14ac:dyDescent="0.25">
      <c r="A40" s="30" t="s">
        <v>1250</v>
      </c>
      <c r="B40" s="23">
        <v>0.5</v>
      </c>
      <c r="C40" s="22" t="s">
        <v>1479</v>
      </c>
      <c r="D40" s="56" t="s">
        <v>999</v>
      </c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31"/>
      <c r="Q40" s="3" t="str">
        <f t="shared" si="0"/>
        <v/>
      </c>
      <c r="R40" s="46">
        <v>40</v>
      </c>
      <c r="S40" s="44" t="b">
        <f t="shared" si="1"/>
        <v>1</v>
      </c>
    </row>
    <row r="41" spans="1:19" x14ac:dyDescent="0.25">
      <c r="A41" s="30" t="s">
        <v>1251</v>
      </c>
      <c r="B41" s="23">
        <v>3.5</v>
      </c>
      <c r="C41" s="22" t="s">
        <v>1479</v>
      </c>
      <c r="D41" s="56" t="s">
        <v>1000</v>
      </c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31"/>
      <c r="Q41" s="3" t="str">
        <f t="shared" si="0"/>
        <v/>
      </c>
      <c r="R41" s="46">
        <v>41</v>
      </c>
      <c r="S41" s="44" t="b">
        <f t="shared" si="1"/>
        <v>1</v>
      </c>
    </row>
    <row r="42" spans="1:19" x14ac:dyDescent="0.25">
      <c r="A42" s="30" t="s">
        <v>1252</v>
      </c>
      <c r="B42" s="23">
        <v>1</v>
      </c>
      <c r="C42" s="22"/>
      <c r="D42" s="56" t="s">
        <v>1184</v>
      </c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31"/>
      <c r="Q42" s="3" t="str">
        <f t="shared" si="0"/>
        <v/>
      </c>
      <c r="R42" s="46">
        <v>42</v>
      </c>
      <c r="S42" s="44" t="b">
        <f>OR(B42=1,B42=0)</f>
        <v>1</v>
      </c>
    </row>
    <row r="43" spans="1:19" x14ac:dyDescent="0.25">
      <c r="A43" s="30" t="s">
        <v>1253</v>
      </c>
      <c r="B43" s="23">
        <v>3</v>
      </c>
      <c r="C43" s="22"/>
      <c r="D43" s="56" t="s">
        <v>1185</v>
      </c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31"/>
      <c r="Q43" s="3" t="str">
        <f t="shared" si="0"/>
        <v/>
      </c>
      <c r="R43" s="46">
        <v>43</v>
      </c>
      <c r="S43" s="44" t="b">
        <f>OR(B43=1,B43=3,B43=5)</f>
        <v>1</v>
      </c>
    </row>
    <row r="44" spans="1:19" x14ac:dyDescent="0.25">
      <c r="A44" s="30" t="s">
        <v>1254</v>
      </c>
      <c r="B44" s="23">
        <v>3.5</v>
      </c>
      <c r="C44" s="22" t="s">
        <v>1479</v>
      </c>
      <c r="D44" s="56" t="s">
        <v>1186</v>
      </c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31"/>
      <c r="Q44" s="3" t="str">
        <f t="shared" si="0"/>
        <v/>
      </c>
      <c r="R44" s="46">
        <v>44</v>
      </c>
      <c r="S44" s="44" t="b">
        <f>AND(ISNUMBER(B44),B44&gt;0)</f>
        <v>1</v>
      </c>
    </row>
    <row r="45" spans="1:19" x14ac:dyDescent="0.25">
      <c r="A45" s="30" t="s">
        <v>1255</v>
      </c>
      <c r="B45" s="23">
        <v>1.5449999999999999</v>
      </c>
      <c r="C45" s="22" t="s">
        <v>1479</v>
      </c>
      <c r="D45" s="56" t="s">
        <v>1001</v>
      </c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31"/>
      <c r="Q45" s="3" t="str">
        <f t="shared" si="0"/>
        <v/>
      </c>
      <c r="R45" s="46">
        <v>45</v>
      </c>
      <c r="S45" s="44" t="b">
        <f>AND(ISNUMBER(B45),B45&gt;0)</f>
        <v>1</v>
      </c>
    </row>
    <row r="46" spans="1:19" x14ac:dyDescent="0.25">
      <c r="A46" s="30" t="s">
        <v>1256</v>
      </c>
      <c r="B46" s="23">
        <v>-1</v>
      </c>
      <c r="C46" s="22" t="s">
        <v>1479</v>
      </c>
      <c r="D46" s="56" t="s">
        <v>1187</v>
      </c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31"/>
      <c r="Q46" s="3" t="str">
        <f t="shared" si="0"/>
        <v/>
      </c>
      <c r="R46" s="46">
        <v>46</v>
      </c>
      <c r="S46" s="44" t="b">
        <f>B46=-1</f>
        <v>1</v>
      </c>
    </row>
    <row r="47" spans="1:19" x14ac:dyDescent="0.25">
      <c r="A47" s="30" t="s">
        <v>1257</v>
      </c>
      <c r="B47" s="23">
        <v>1</v>
      </c>
      <c r="C47" s="22"/>
      <c r="D47" s="56" t="s">
        <v>1002</v>
      </c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31"/>
      <c r="Q47" s="3" t="str">
        <f t="shared" si="0"/>
        <v/>
      </c>
      <c r="R47" s="46">
        <v>47</v>
      </c>
      <c r="S47" s="44" t="b">
        <f>OR(B47=1,B47=2)</f>
        <v>1</v>
      </c>
    </row>
    <row r="48" spans="1:19" x14ac:dyDescent="0.25">
      <c r="A48" s="30" t="s">
        <v>1258</v>
      </c>
      <c r="B48" s="23">
        <v>1</v>
      </c>
      <c r="C48" s="22"/>
      <c r="D48" s="56" t="s">
        <v>1003</v>
      </c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31"/>
      <c r="Q48" s="3" t="str">
        <f t="shared" si="0"/>
        <v/>
      </c>
      <c r="R48" s="46">
        <v>48</v>
      </c>
      <c r="S48" s="44" t="b">
        <f>OR(B48=1,B48=2)</f>
        <v>1</v>
      </c>
    </row>
    <row r="49" spans="1:19" x14ac:dyDescent="0.25">
      <c r="A49" s="30" t="s">
        <v>1259</v>
      </c>
      <c r="B49" s="23">
        <v>0</v>
      </c>
      <c r="C49" s="22"/>
      <c r="D49" s="56" t="s">
        <v>1188</v>
      </c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31"/>
      <c r="Q49" s="3" t="str">
        <f t="shared" si="0"/>
        <v/>
      </c>
      <c r="R49" s="46">
        <v>49</v>
      </c>
      <c r="S49" s="44" t="b">
        <f>OR(B49=0,B49=1)</f>
        <v>1</v>
      </c>
    </row>
    <row r="50" spans="1:19" x14ac:dyDescent="0.25">
      <c r="A50" s="30" t="s">
        <v>1260</v>
      </c>
      <c r="B50" s="23">
        <v>-1</v>
      </c>
      <c r="C50" s="22" t="s">
        <v>1479</v>
      </c>
      <c r="D50" s="56" t="s">
        <v>1004</v>
      </c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31"/>
      <c r="Q50" s="3" t="str">
        <f t="shared" si="0"/>
        <v/>
      </c>
      <c r="R50" s="46">
        <v>50</v>
      </c>
      <c r="S50" s="44" t="b">
        <f>OR(B50=-1,AND(B50&gt;0,ISNUMBER(B50)))</f>
        <v>1</v>
      </c>
    </row>
    <row r="51" spans="1:19" x14ac:dyDescent="0.25">
      <c r="A51" s="30" t="s">
        <v>1261</v>
      </c>
      <c r="B51" s="23">
        <v>-1</v>
      </c>
      <c r="C51" s="22" t="s">
        <v>1479</v>
      </c>
      <c r="D51" s="56" t="s">
        <v>1005</v>
      </c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31"/>
      <c r="Q51" s="3" t="str">
        <f t="shared" si="0"/>
        <v/>
      </c>
      <c r="R51" s="46">
        <v>51</v>
      </c>
      <c r="S51" s="44" t="b">
        <f>OR(B51=-1,AND(B51&gt;0,ISNUMBER(B51)))</f>
        <v>1</v>
      </c>
    </row>
    <row r="52" spans="1:19" x14ac:dyDescent="0.25">
      <c r="A52" s="30" t="s">
        <v>1262</v>
      </c>
      <c r="B52" s="23" t="s">
        <v>1754</v>
      </c>
      <c r="C52" s="22"/>
      <c r="D52" s="56" t="s">
        <v>1006</v>
      </c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31"/>
      <c r="Q52" s="3" t="str">
        <f t="shared" si="0"/>
        <v/>
      </c>
      <c r="R52" s="46">
        <v>52</v>
      </c>
      <c r="S52" s="44" t="b">
        <f>ISTEXT(B52)</f>
        <v>1</v>
      </c>
    </row>
    <row r="53" spans="1:19" x14ac:dyDescent="0.25">
      <c r="A53" s="30" t="s">
        <v>1263</v>
      </c>
      <c r="B53" s="23" t="s">
        <v>1755</v>
      </c>
      <c r="C53" s="22"/>
      <c r="D53" s="56" t="s">
        <v>1007</v>
      </c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31"/>
      <c r="Q53" s="3" t="str">
        <f t="shared" si="0"/>
        <v/>
      </c>
      <c r="R53" s="46">
        <v>53</v>
      </c>
      <c r="S53" s="44" t="b">
        <f>ISTEXT(B53)</f>
        <v>1</v>
      </c>
    </row>
    <row r="54" spans="1:19" x14ac:dyDescent="0.25">
      <c r="A54" s="30" t="s">
        <v>1264</v>
      </c>
      <c r="B54" s="23">
        <v>-1</v>
      </c>
      <c r="C54" s="22" t="s">
        <v>1479</v>
      </c>
      <c r="D54" s="56" t="s">
        <v>1008</v>
      </c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31"/>
      <c r="Q54" s="3" t="str">
        <f t="shared" si="0"/>
        <v/>
      </c>
      <c r="R54" s="46">
        <v>54</v>
      </c>
      <c r="S54" s="44" t="b">
        <f>OR(B54=-1,AND(B54&gt;0, ISNUMBER(B54)))</f>
        <v>1</v>
      </c>
    </row>
    <row r="55" spans="1:19" x14ac:dyDescent="0.25">
      <c r="A55" s="30" t="s">
        <v>1265</v>
      </c>
      <c r="B55" s="23">
        <v>-1</v>
      </c>
      <c r="C55" s="22" t="s">
        <v>1479</v>
      </c>
      <c r="D55" s="56" t="s">
        <v>1189</v>
      </c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31"/>
      <c r="Q55" s="3" t="str">
        <f t="shared" si="0"/>
        <v/>
      </c>
      <c r="R55" s="46">
        <v>55</v>
      </c>
      <c r="S55" s="44" t="b">
        <f>OR(B55=-1,AND(B55&gt;0, ISNUMBER(B55)))</f>
        <v>1</v>
      </c>
    </row>
    <row r="56" spans="1:19" x14ac:dyDescent="0.25">
      <c r="A56" s="30" t="s">
        <v>1266</v>
      </c>
      <c r="B56" s="23">
        <v>-1</v>
      </c>
      <c r="C56" s="22" t="s">
        <v>1479</v>
      </c>
      <c r="D56" s="56" t="s">
        <v>1190</v>
      </c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31"/>
      <c r="Q56" s="3" t="str">
        <f t="shared" si="0"/>
        <v/>
      </c>
      <c r="R56" s="46">
        <v>56</v>
      </c>
      <c r="S56" s="44" t="b">
        <f>OR(B56=-1,AND(B56&gt;0,ISNUMBER(B56)))</f>
        <v>1</v>
      </c>
    </row>
    <row r="57" spans="1:19" x14ac:dyDescent="0.25">
      <c r="A57" s="30" t="s">
        <v>1267</v>
      </c>
      <c r="B57" s="23">
        <v>-1</v>
      </c>
      <c r="C57" s="22" t="s">
        <v>1479</v>
      </c>
      <c r="D57" s="56" t="s">
        <v>1191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31"/>
      <c r="Q57" s="3" t="str">
        <f t="shared" si="0"/>
        <v/>
      </c>
      <c r="R57" s="46">
        <v>57</v>
      </c>
      <c r="S57" s="44" t="b">
        <f>OR(B57=-1,AND(B57&gt;0,ISNUMBER(B57)))</f>
        <v>1</v>
      </c>
    </row>
    <row r="58" spans="1:19" x14ac:dyDescent="0.25">
      <c r="A58" s="30" t="s">
        <v>1268</v>
      </c>
      <c r="B58" s="23">
        <v>2</v>
      </c>
      <c r="C58" s="22"/>
      <c r="D58" s="56" t="s">
        <v>1009</v>
      </c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31"/>
      <c r="Q58" s="3" t="str">
        <f t="shared" si="0"/>
        <v/>
      </c>
      <c r="R58" s="46">
        <v>58</v>
      </c>
      <c r="S58" s="44" t="b">
        <f>OR(B58=2,B58=0)</f>
        <v>1</v>
      </c>
    </row>
    <row r="59" spans="1:19" x14ac:dyDescent="0.25">
      <c r="A59" s="30" t="s">
        <v>1269</v>
      </c>
      <c r="B59" s="23">
        <v>3</v>
      </c>
      <c r="C59" s="22"/>
      <c r="D59" s="56" t="s">
        <v>1010</v>
      </c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31"/>
      <c r="Q59" s="3" t="str">
        <f t="shared" si="0"/>
        <v/>
      </c>
      <c r="R59" s="46">
        <v>59</v>
      </c>
      <c r="S59" s="44" t="b">
        <f>OR(B59=3,B59=0)</f>
        <v>1</v>
      </c>
    </row>
    <row r="60" spans="1:19" x14ac:dyDescent="0.25">
      <c r="A60" s="30" t="s">
        <v>1270</v>
      </c>
      <c r="B60" s="23">
        <v>-1</v>
      </c>
      <c r="C60" s="22" t="s">
        <v>1479</v>
      </c>
      <c r="D60" s="56" t="s">
        <v>1011</v>
      </c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31"/>
      <c r="Q60" s="3" t="str">
        <f t="shared" si="0"/>
        <v/>
      </c>
      <c r="R60" s="46">
        <v>60</v>
      </c>
      <c r="S60" s="44" t="b">
        <f>OR(B60=-1,AND(B60&gt;0,ISNUMBER(B60)))</f>
        <v>1</v>
      </c>
    </row>
    <row r="61" spans="1:19" x14ac:dyDescent="0.25">
      <c r="A61" s="30" t="s">
        <v>1271</v>
      </c>
      <c r="B61" s="23">
        <v>-1</v>
      </c>
      <c r="C61" s="22" t="s">
        <v>1479</v>
      </c>
      <c r="D61" s="56" t="s">
        <v>1192</v>
      </c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31"/>
      <c r="Q61" s="3" t="str">
        <f t="shared" si="0"/>
        <v/>
      </c>
      <c r="R61" s="46">
        <v>61</v>
      </c>
      <c r="S61" s="44" t="b">
        <f>OR(B61=-1,AND(B61&gt;0,ISNUMBER(B61)))</f>
        <v>1</v>
      </c>
    </row>
    <row r="62" spans="1:19" x14ac:dyDescent="0.25">
      <c r="A62" s="30" t="s">
        <v>1272</v>
      </c>
      <c r="B62" s="23">
        <v>-1</v>
      </c>
      <c r="C62" s="22" t="s">
        <v>1479</v>
      </c>
      <c r="D62" s="56" t="s">
        <v>1012</v>
      </c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31"/>
      <c r="Q62" s="3" t="str">
        <f t="shared" si="0"/>
        <v/>
      </c>
      <c r="R62" s="46">
        <v>62</v>
      </c>
      <c r="S62" s="44" t="b">
        <f>OR(B62=-1,AND(B62&gt;0,ISNUMBER(B62)))</f>
        <v>1</v>
      </c>
    </row>
    <row r="63" spans="1:19" x14ac:dyDescent="0.25">
      <c r="A63" s="30" t="s">
        <v>1273</v>
      </c>
      <c r="B63" s="23">
        <v>71</v>
      </c>
      <c r="C63" s="22" t="s">
        <v>1479</v>
      </c>
      <c r="D63" s="56" t="s">
        <v>1013</v>
      </c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31"/>
      <c r="Q63" s="3" t="str">
        <f t="shared" si="0"/>
        <v/>
      </c>
      <c r="R63" s="46">
        <v>63</v>
      </c>
      <c r="S63" s="44" t="b">
        <f>AND(B63&gt;0,ISNUMBER(B63))</f>
        <v>1</v>
      </c>
    </row>
    <row r="64" spans="1:19" x14ac:dyDescent="0.25">
      <c r="A64" s="30" t="s">
        <v>1274</v>
      </c>
      <c r="B64" s="23">
        <v>121</v>
      </c>
      <c r="C64" s="22" t="s">
        <v>1479</v>
      </c>
      <c r="D64" s="56" t="s">
        <v>1014</v>
      </c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31"/>
      <c r="Q64" s="3" t="str">
        <f t="shared" si="0"/>
        <v/>
      </c>
      <c r="R64" s="46">
        <v>64</v>
      </c>
      <c r="S64" s="44" t="b">
        <f>AND(ISNUMBER(B64),B64&gt;0)</f>
        <v>1</v>
      </c>
    </row>
    <row r="65" spans="1:19" x14ac:dyDescent="0.25">
      <c r="A65" s="30" t="s">
        <v>1275</v>
      </c>
      <c r="B65" s="23">
        <v>85</v>
      </c>
      <c r="C65" s="22" t="s">
        <v>1480</v>
      </c>
      <c r="D65" s="56" t="s">
        <v>1015</v>
      </c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31"/>
      <c r="Q65" s="3" t="str">
        <f t="shared" si="0"/>
        <v/>
      </c>
      <c r="R65" s="46">
        <v>65</v>
      </c>
      <c r="S65" s="44" t="b">
        <f>AND(ISNUMBER(B65),B65&gt;0)</f>
        <v>1</v>
      </c>
    </row>
    <row r="66" spans="1:19" x14ac:dyDescent="0.25">
      <c r="A66" s="30" t="s">
        <v>1276</v>
      </c>
      <c r="B66" s="23">
        <v>0</v>
      </c>
      <c r="C66" s="22" t="s">
        <v>1479</v>
      </c>
      <c r="D66" s="56" t="s">
        <v>1016</v>
      </c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31"/>
      <c r="Q66" s="3" t="str">
        <f t="shared" si="0"/>
        <v/>
      </c>
      <c r="R66" s="46">
        <v>66</v>
      </c>
      <c r="S66" s="44" t="b">
        <f>AND(B66&gt;=0,ISNUMBER(B66))</f>
        <v>1</v>
      </c>
    </row>
    <row r="67" spans="1:19" x14ac:dyDescent="0.25">
      <c r="A67" s="30" t="s">
        <v>1277</v>
      </c>
      <c r="B67" s="23">
        <v>5000</v>
      </c>
      <c r="C67" s="22" t="s">
        <v>1479</v>
      </c>
      <c r="D67" s="56" t="s">
        <v>1017</v>
      </c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31"/>
      <c r="Q67" s="3" t="str">
        <f t="shared" si="0"/>
        <v/>
      </c>
      <c r="R67" s="46">
        <v>67</v>
      </c>
      <c r="S67" s="44" t="b">
        <f>AND(B67&gt;0,ISNUMBER(B67))</f>
        <v>1</v>
      </c>
    </row>
    <row r="68" spans="1:19" x14ac:dyDescent="0.25">
      <c r="A68" s="30" t="s">
        <v>1278</v>
      </c>
      <c r="B68" s="23">
        <v>0</v>
      </c>
      <c r="C68" s="22"/>
      <c r="D68" s="56" t="s">
        <v>1018</v>
      </c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31"/>
      <c r="Q68" s="3" t="str">
        <f t="shared" si="0"/>
        <v/>
      </c>
      <c r="R68" s="46">
        <v>68</v>
      </c>
      <c r="S68" s="44" t="b">
        <f>AND(INT(B68)=B68,B68&gt;=0)</f>
        <v>1</v>
      </c>
    </row>
    <row r="69" spans="1:19" x14ac:dyDescent="0.25">
      <c r="A69" s="30" t="s">
        <v>1279</v>
      </c>
      <c r="B69" s="23">
        <v>0</v>
      </c>
      <c r="C69" s="22"/>
      <c r="D69" s="56" t="s">
        <v>1019</v>
      </c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31"/>
      <c r="Q69" s="3" t="str">
        <f t="shared" si="0"/>
        <v/>
      </c>
      <c r="R69" s="46">
        <v>69</v>
      </c>
      <c r="S69" s="44" t="b">
        <f>OR(B69=0,B69=3,B69=4,B69=6)</f>
        <v>1</v>
      </c>
    </row>
    <row r="70" spans="1:19" x14ac:dyDescent="0.25">
      <c r="A70" s="30" t="s">
        <v>1280</v>
      </c>
      <c r="B70" s="23">
        <v>0</v>
      </c>
      <c r="C70" s="22" t="s">
        <v>1479</v>
      </c>
      <c r="D70" s="56" t="s">
        <v>1020</v>
      </c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31"/>
      <c r="Q70" s="3" t="str">
        <f t="shared" si="0"/>
        <v/>
      </c>
      <c r="R70" s="46">
        <v>70</v>
      </c>
      <c r="S70" s="44" t="b">
        <f>AND(B70&gt;=0,B70&gt;=0)</f>
        <v>1</v>
      </c>
    </row>
    <row r="71" spans="1:19" x14ac:dyDescent="0.25">
      <c r="A71" s="30" t="s">
        <v>1281</v>
      </c>
      <c r="B71" s="23">
        <v>50</v>
      </c>
      <c r="C71" s="22" t="s">
        <v>1479</v>
      </c>
      <c r="D71" s="56" t="s">
        <v>1021</v>
      </c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31"/>
      <c r="Q71" s="3" t="str">
        <f t="shared" si="0"/>
        <v/>
      </c>
      <c r="R71" s="46">
        <v>71</v>
      </c>
      <c r="S71" s="44" t="b">
        <f>AND(B71=50,B71&gt;0)</f>
        <v>1</v>
      </c>
    </row>
    <row r="72" spans="1:19" x14ac:dyDescent="0.25">
      <c r="A72" s="30" t="s">
        <v>1282</v>
      </c>
      <c r="B72" s="23">
        <v>15</v>
      </c>
      <c r="C72" s="22" t="s">
        <v>1479</v>
      </c>
      <c r="D72" s="56" t="s">
        <v>1022</v>
      </c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31"/>
      <c r="Q72" s="3" t="str">
        <f t="shared" si="0"/>
        <v/>
      </c>
      <c r="R72" s="46">
        <v>72</v>
      </c>
      <c r="S72" s="44" t="b">
        <f>OR(B72=5,B72=15,B72=17,B72=20,B72=23)</f>
        <v>1</v>
      </c>
    </row>
    <row r="73" spans="1:19" x14ac:dyDescent="0.25">
      <c r="A73" s="30" t="s">
        <v>1283</v>
      </c>
      <c r="B73" s="23">
        <v>40</v>
      </c>
      <c r="C73" s="22" t="s">
        <v>1479</v>
      </c>
      <c r="D73" s="56" t="s">
        <v>1023</v>
      </c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31"/>
      <c r="Q73" s="3" t="str">
        <f t="shared" ref="Q73:Q136" si="2">IF($P$7=A73,1,"")</f>
        <v/>
      </c>
      <c r="R73" s="46">
        <v>73</v>
      </c>
      <c r="S73" s="44" t="b">
        <f>OR(B73=0,B73=40)</f>
        <v>1</v>
      </c>
    </row>
    <row r="74" spans="1:19" x14ac:dyDescent="0.25">
      <c r="A74" s="30" t="s">
        <v>1284</v>
      </c>
      <c r="B74" s="23">
        <v>0</v>
      </c>
      <c r="C74" s="22" t="s">
        <v>1479</v>
      </c>
      <c r="D74" s="56" t="s">
        <v>1024</v>
      </c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31"/>
      <c r="Q74" s="3" t="str">
        <f t="shared" si="2"/>
        <v/>
      </c>
      <c r="R74" s="46">
        <v>74</v>
      </c>
      <c r="S74" s="44" t="b">
        <f>AND(ISNUMBER(B74),B74&gt;=0)</f>
        <v>1</v>
      </c>
    </row>
    <row r="75" spans="1:19" x14ac:dyDescent="0.25">
      <c r="A75" s="30" t="s">
        <v>1285</v>
      </c>
      <c r="B75" s="23">
        <v>0</v>
      </c>
      <c r="C75" s="22" t="s">
        <v>1479</v>
      </c>
      <c r="D75" s="56" t="s">
        <v>1025</v>
      </c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31"/>
      <c r="Q75" s="3" t="str">
        <f t="shared" si="2"/>
        <v/>
      </c>
      <c r="R75" s="46">
        <v>75</v>
      </c>
      <c r="S75" s="44" t="b">
        <f>AND(B75&gt;=0,ISNUMBER(B75))</f>
        <v>1</v>
      </c>
    </row>
    <row r="76" spans="1:19" x14ac:dyDescent="0.25">
      <c r="A76" s="30" t="s">
        <v>1286</v>
      </c>
      <c r="B76" s="23">
        <v>0</v>
      </c>
      <c r="C76" s="22" t="s">
        <v>1479</v>
      </c>
      <c r="D76" s="56" t="s">
        <v>1026</v>
      </c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31"/>
      <c r="Q76" s="3" t="str">
        <f t="shared" si="2"/>
        <v/>
      </c>
      <c r="R76" s="46">
        <v>76</v>
      </c>
      <c r="S76" s="44" t="b">
        <f>AND(B76&gt;=0,ISNUMBER(B76))</f>
        <v>1</v>
      </c>
    </row>
    <row r="77" spans="1:19" x14ac:dyDescent="0.25">
      <c r="A77" s="32" t="s">
        <v>1287</v>
      </c>
      <c r="B77" s="23" t="s">
        <v>1756</v>
      </c>
      <c r="C77" s="22"/>
      <c r="D77" s="56" t="s">
        <v>1027</v>
      </c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31"/>
      <c r="Q77" s="3" t="str">
        <f t="shared" si="2"/>
        <v/>
      </c>
      <c r="R77" s="46">
        <v>77</v>
      </c>
      <c r="S77" s="44" t="b">
        <f>ISTEXT(B77)</f>
        <v>1</v>
      </c>
    </row>
    <row r="78" spans="1:19" x14ac:dyDescent="0.25">
      <c r="A78" s="32" t="s">
        <v>1288</v>
      </c>
      <c r="B78" s="23" t="s">
        <v>1756</v>
      </c>
      <c r="C78" s="22"/>
      <c r="D78" s="56" t="s">
        <v>1028</v>
      </c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31"/>
      <c r="Q78" s="3" t="str">
        <f t="shared" si="2"/>
        <v/>
      </c>
      <c r="R78" s="46">
        <v>78</v>
      </c>
      <c r="S78" s="44" t="b">
        <f>ISTEXT(B78)</f>
        <v>1</v>
      </c>
    </row>
    <row r="79" spans="1:19" x14ac:dyDescent="0.25">
      <c r="A79" s="30" t="s">
        <v>1289</v>
      </c>
      <c r="B79" s="23">
        <v>2</v>
      </c>
      <c r="C79" s="22"/>
      <c r="D79" s="56" t="s">
        <v>1193</v>
      </c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31"/>
      <c r="Q79" s="3" t="str">
        <f t="shared" si="2"/>
        <v/>
      </c>
      <c r="R79" s="46">
        <v>79</v>
      </c>
      <c r="S79" s="44" t="b">
        <f>OR(B79=0,B79=1,B79=2)</f>
        <v>1</v>
      </c>
    </row>
    <row r="80" spans="1:19" x14ac:dyDescent="0.25">
      <c r="A80" s="30" t="s">
        <v>1290</v>
      </c>
      <c r="B80" s="23" t="s">
        <v>1029</v>
      </c>
      <c r="C80" s="22"/>
      <c r="D80" s="56" t="s">
        <v>1030</v>
      </c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31"/>
      <c r="Q80" s="3" t="str">
        <f t="shared" si="2"/>
        <v/>
      </c>
      <c r="R80" s="46">
        <v>80</v>
      </c>
      <c r="S80" s="44" t="b">
        <f>AND(ISTEXT(B80),LEN(B80)=1)</f>
        <v>1</v>
      </c>
    </row>
    <row r="81" spans="1:19" x14ac:dyDescent="0.25">
      <c r="A81" s="30" t="s">
        <v>1291</v>
      </c>
      <c r="B81" s="23" t="s">
        <v>1031</v>
      </c>
      <c r="C81" s="22"/>
      <c r="D81" s="56" t="s">
        <v>1032</v>
      </c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31"/>
      <c r="Q81" s="3" t="str">
        <f t="shared" si="2"/>
        <v/>
      </c>
      <c r="R81" s="46">
        <v>81</v>
      </c>
      <c r="S81" s="44" t="b">
        <f>ISTEXT(B81)</f>
        <v>1</v>
      </c>
    </row>
    <row r="82" spans="1:19" x14ac:dyDescent="0.25">
      <c r="A82" s="30" t="s">
        <v>1292</v>
      </c>
      <c r="B82" s="23">
        <v>7</v>
      </c>
      <c r="C82" s="22" t="s">
        <v>1481</v>
      </c>
      <c r="D82" s="56" t="s">
        <v>1033</v>
      </c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31"/>
      <c r="Q82" s="3" t="str">
        <f t="shared" si="2"/>
        <v/>
      </c>
      <c r="R82" s="46">
        <v>82</v>
      </c>
      <c r="S82" s="44" t="b">
        <f>AND(ISNUMBER(B82),B82&gt;0)</f>
        <v>1</v>
      </c>
    </row>
    <row r="83" spans="1:19" x14ac:dyDescent="0.25">
      <c r="A83" s="30" t="s">
        <v>1293</v>
      </c>
      <c r="B83" s="23">
        <v>1.5</v>
      </c>
      <c r="C83" s="22" t="s">
        <v>1481</v>
      </c>
      <c r="D83" s="56" t="s">
        <v>1034</v>
      </c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31"/>
      <c r="Q83" s="3" t="str">
        <f t="shared" si="2"/>
        <v/>
      </c>
      <c r="R83" s="46">
        <v>83</v>
      </c>
      <c r="S83" s="44" t="b">
        <f>AND(ISNUMBER(B83),B83&gt;0)</f>
        <v>1</v>
      </c>
    </row>
    <row r="84" spans="1:19" x14ac:dyDescent="0.25">
      <c r="A84" s="30" t="s">
        <v>1294</v>
      </c>
      <c r="B84" s="23">
        <v>2.5</v>
      </c>
      <c r="C84" s="22" t="s">
        <v>1481</v>
      </c>
      <c r="D84" s="56" t="s">
        <v>1035</v>
      </c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31"/>
      <c r="Q84" s="3" t="str">
        <f t="shared" si="2"/>
        <v/>
      </c>
      <c r="R84" s="46">
        <v>84</v>
      </c>
      <c r="S84" s="44" t="b">
        <f>AND(ISNUMBER(B84),B84&gt;0)</f>
        <v>1</v>
      </c>
    </row>
    <row r="85" spans="1:19" x14ac:dyDescent="0.25">
      <c r="A85" s="30" t="s">
        <v>1295</v>
      </c>
      <c r="B85" s="23">
        <v>1800</v>
      </c>
      <c r="C85" s="22" t="s">
        <v>1482</v>
      </c>
      <c r="D85" s="56" t="s">
        <v>1036</v>
      </c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31"/>
      <c r="Q85" s="3" t="str">
        <f t="shared" si="2"/>
        <v/>
      </c>
      <c r="R85" s="46">
        <v>85</v>
      </c>
      <c r="S85" s="44" t="b">
        <f>AND(INT(B85)=B85,B85&gt;0)</f>
        <v>1</v>
      </c>
    </row>
    <row r="86" spans="1:19" x14ac:dyDescent="0.25">
      <c r="A86" s="30" t="s">
        <v>1296</v>
      </c>
      <c r="B86" s="23" t="s">
        <v>1444</v>
      </c>
      <c r="C86" s="22"/>
      <c r="D86" s="56" t="s">
        <v>1037</v>
      </c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31"/>
      <c r="Q86" s="3" t="str">
        <f t="shared" si="2"/>
        <v/>
      </c>
      <c r="R86" s="46">
        <v>86</v>
      </c>
      <c r="S86" s="44" t="b">
        <f>ISTEXT(B86)</f>
        <v>1</v>
      </c>
    </row>
    <row r="87" spans="1:19" x14ac:dyDescent="0.25">
      <c r="A87" s="30" t="s">
        <v>1297</v>
      </c>
      <c r="B87" s="23" t="s">
        <v>1757</v>
      </c>
      <c r="C87" s="22"/>
      <c r="D87" s="56" t="s">
        <v>1038</v>
      </c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31"/>
      <c r="Q87" s="3" t="str">
        <f t="shared" si="2"/>
        <v/>
      </c>
      <c r="R87" s="46">
        <v>87</v>
      </c>
      <c r="S87" s="44" t="b">
        <f>ISTEXT(B87)</f>
        <v>1</v>
      </c>
    </row>
    <row r="88" spans="1:19" x14ac:dyDescent="0.25">
      <c r="A88" s="30" t="s">
        <v>1298</v>
      </c>
      <c r="B88" s="23" t="s">
        <v>1039</v>
      </c>
      <c r="C88" s="22"/>
      <c r="D88" s="56" t="s">
        <v>1040</v>
      </c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31"/>
      <c r="Q88" s="3" t="str">
        <f t="shared" si="2"/>
        <v/>
      </c>
      <c r="R88" s="46">
        <v>88</v>
      </c>
      <c r="S88" s="44" t="b">
        <f>ISTEXT(B88)</f>
        <v>1</v>
      </c>
    </row>
    <row r="89" spans="1:19" x14ac:dyDescent="0.25">
      <c r="A89" s="30" t="s">
        <v>1299</v>
      </c>
      <c r="B89" s="23">
        <v>0</v>
      </c>
      <c r="C89" s="22"/>
      <c r="D89" s="56" t="s">
        <v>1041</v>
      </c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31"/>
      <c r="Q89" s="3" t="str">
        <f t="shared" si="2"/>
        <v/>
      </c>
      <c r="R89" s="46">
        <v>89</v>
      </c>
      <c r="S89" s="44" t="b">
        <f>OR(B89=0,B89=1)</f>
        <v>1</v>
      </c>
    </row>
    <row r="90" spans="1:19" x14ac:dyDescent="0.25">
      <c r="A90" s="30" t="s">
        <v>1300</v>
      </c>
      <c r="B90" s="23">
        <v>20</v>
      </c>
      <c r="C90" s="22" t="s">
        <v>1483</v>
      </c>
      <c r="D90" s="56" t="s">
        <v>1042</v>
      </c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31"/>
      <c r="Q90" s="3" t="str">
        <f t="shared" si="2"/>
        <v/>
      </c>
      <c r="R90" s="46">
        <v>90</v>
      </c>
      <c r="S90" s="44" t="b">
        <f>AND(INT(B90)=B90,B90&gt;=0)</f>
        <v>1</v>
      </c>
    </row>
    <row r="91" spans="1:19" x14ac:dyDescent="0.25">
      <c r="A91" s="30" t="s">
        <v>1301</v>
      </c>
      <c r="B91" s="23">
        <v>5</v>
      </c>
      <c r="C91" s="22"/>
      <c r="D91" s="56" t="s">
        <v>1194</v>
      </c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31"/>
      <c r="Q91" s="3" t="str">
        <f t="shared" si="2"/>
        <v/>
      </c>
      <c r="R91" s="46">
        <v>91</v>
      </c>
      <c r="S91" s="44" t="b">
        <f>OR(B91=0,B91=1,B91=2,B91=5)</f>
        <v>1</v>
      </c>
    </row>
    <row r="92" spans="1:19" x14ac:dyDescent="0.25">
      <c r="A92" s="30" t="s">
        <v>1302</v>
      </c>
      <c r="B92" s="23">
        <v>40</v>
      </c>
      <c r="C92" s="22" t="s">
        <v>1483</v>
      </c>
      <c r="D92" s="56" t="s">
        <v>1043</v>
      </c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31"/>
      <c r="Q92" s="3" t="str">
        <f t="shared" si="2"/>
        <v/>
      </c>
      <c r="R92" s="46">
        <v>92</v>
      </c>
      <c r="S92" s="44" t="b">
        <f>AND(B92&gt;0,ISNUMBER(B92))</f>
        <v>1</v>
      </c>
    </row>
    <row r="93" spans="1:19" x14ac:dyDescent="0.25">
      <c r="A93" s="30" t="s">
        <v>1303</v>
      </c>
      <c r="B93" s="23">
        <v>1650</v>
      </c>
      <c r="C93" s="22" t="s">
        <v>1484</v>
      </c>
      <c r="D93" s="56" t="s">
        <v>1044</v>
      </c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31"/>
      <c r="Q93" s="3" t="str">
        <f t="shared" si="2"/>
        <v/>
      </c>
      <c r="R93" s="46">
        <v>93</v>
      </c>
      <c r="S93" s="44" t="b">
        <f>AND(B93&gt;=0,ISNUMBER(B93))</f>
        <v>1</v>
      </c>
    </row>
    <row r="94" spans="1:19" x14ac:dyDescent="0.25">
      <c r="A94" s="30" t="s">
        <v>1304</v>
      </c>
      <c r="B94" s="23">
        <v>120</v>
      </c>
      <c r="C94" s="22" t="s">
        <v>1483</v>
      </c>
      <c r="D94" s="56" t="s">
        <v>1045</v>
      </c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31"/>
      <c r="Q94" s="3" t="str">
        <f t="shared" si="2"/>
        <v/>
      </c>
      <c r="R94" s="46">
        <v>94</v>
      </c>
      <c r="S94" s="44" t="b">
        <f>AND(B94&gt;0,ISNUMBER(B94))</f>
        <v>1</v>
      </c>
    </row>
    <row r="95" spans="1:19" x14ac:dyDescent="0.25">
      <c r="A95" s="30" t="s">
        <v>1305</v>
      </c>
      <c r="B95" s="23">
        <v>130</v>
      </c>
      <c r="C95" s="22" t="s">
        <v>1483</v>
      </c>
      <c r="D95" s="56" t="s">
        <v>1046</v>
      </c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31"/>
      <c r="Q95" s="3" t="str">
        <f t="shared" si="2"/>
        <v/>
      </c>
      <c r="R95" s="46">
        <v>95</v>
      </c>
      <c r="S95" s="44" t="b">
        <f>AND(B95&gt;0,ISNUMBER(B95))</f>
        <v>1</v>
      </c>
    </row>
    <row r="96" spans="1:19" x14ac:dyDescent="0.25">
      <c r="A96" s="30" t="s">
        <v>1306</v>
      </c>
      <c r="B96" s="23">
        <v>350</v>
      </c>
      <c r="C96" s="22" t="s">
        <v>1483</v>
      </c>
      <c r="D96" s="56" t="s">
        <v>1047</v>
      </c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31"/>
      <c r="Q96" s="3" t="str">
        <f t="shared" si="2"/>
        <v/>
      </c>
      <c r="R96" s="46">
        <v>96</v>
      </c>
      <c r="S96" s="44" t="b">
        <f>AND(B96&gt;0,ISNUMBER(B96))</f>
        <v>1</v>
      </c>
    </row>
    <row r="97" spans="1:19" x14ac:dyDescent="0.25">
      <c r="A97" s="30" t="s">
        <v>1307</v>
      </c>
      <c r="B97" s="23">
        <v>95</v>
      </c>
      <c r="C97" s="22" t="s">
        <v>1483</v>
      </c>
      <c r="D97" s="56" t="s">
        <v>1048</v>
      </c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31"/>
      <c r="Q97" s="3" t="str">
        <f t="shared" si="2"/>
        <v/>
      </c>
      <c r="R97" s="46">
        <v>97</v>
      </c>
      <c r="S97" s="44" t="b">
        <f>AND(B97&gt;0,ISNUMBER(B97))</f>
        <v>1</v>
      </c>
    </row>
    <row r="98" spans="1:19" x14ac:dyDescent="0.25">
      <c r="A98" s="30" t="s">
        <v>1308</v>
      </c>
      <c r="B98" s="23">
        <v>100</v>
      </c>
      <c r="C98" s="22" t="s">
        <v>1483</v>
      </c>
      <c r="D98" s="56" t="s">
        <v>1049</v>
      </c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31"/>
      <c r="Q98" s="3" t="str">
        <f t="shared" si="2"/>
        <v/>
      </c>
      <c r="R98" s="46">
        <v>98</v>
      </c>
      <c r="S98" s="44" t="b">
        <f>AND(B98&gt;0,ISNUMBER(B98))</f>
        <v>1</v>
      </c>
    </row>
    <row r="99" spans="1:19" x14ac:dyDescent="0.25">
      <c r="A99" s="30" t="s">
        <v>1309</v>
      </c>
      <c r="B99" s="23" t="s">
        <v>1050</v>
      </c>
      <c r="C99" s="22"/>
      <c r="D99" s="56" t="s">
        <v>1195</v>
      </c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31"/>
      <c r="Q99" s="3" t="str">
        <f t="shared" si="2"/>
        <v/>
      </c>
      <c r="R99" s="46">
        <v>99</v>
      </c>
      <c r="S99" s="44" t="b">
        <f>B99="M530"</f>
        <v>1</v>
      </c>
    </row>
    <row r="100" spans="1:19" x14ac:dyDescent="0.25">
      <c r="A100" s="30" t="s">
        <v>1310</v>
      </c>
      <c r="B100" s="23" t="s">
        <v>1050</v>
      </c>
      <c r="C100" s="22"/>
      <c r="D100" s="56" t="s">
        <v>1196</v>
      </c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31"/>
      <c r="Q100" s="3" t="str">
        <f t="shared" si="2"/>
        <v/>
      </c>
      <c r="R100" s="46">
        <v>100</v>
      </c>
      <c r="S100" s="44" t="b">
        <f>B100="M530"</f>
        <v>1</v>
      </c>
    </row>
    <row r="101" spans="1:19" x14ac:dyDescent="0.25">
      <c r="A101" s="30" t="s">
        <v>1311</v>
      </c>
      <c r="B101" s="23">
        <v>1</v>
      </c>
      <c r="C101" s="22"/>
      <c r="D101" s="56" t="s">
        <v>1051</v>
      </c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31"/>
      <c r="Q101" s="3" t="str">
        <f t="shared" si="2"/>
        <v/>
      </c>
      <c r="R101" s="46">
        <v>101</v>
      </c>
      <c r="S101" s="44" t="b">
        <f>B101=1</f>
        <v>1</v>
      </c>
    </row>
    <row r="102" spans="1:19" x14ac:dyDescent="0.25">
      <c r="A102" s="30" t="s">
        <v>1312</v>
      </c>
      <c r="B102" s="23">
        <v>1</v>
      </c>
      <c r="C102" s="22"/>
      <c r="D102" s="56" t="s">
        <v>1052</v>
      </c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31"/>
      <c r="Q102" s="3" t="str">
        <f t="shared" si="2"/>
        <v/>
      </c>
      <c r="R102" s="46">
        <v>102</v>
      </c>
      <c r="S102" s="44" t="b">
        <f>B102=1</f>
        <v>1</v>
      </c>
    </row>
    <row r="103" spans="1:19" x14ac:dyDescent="0.25">
      <c r="A103" s="30" t="s">
        <v>1313</v>
      </c>
      <c r="B103" s="23">
        <v>0.5</v>
      </c>
      <c r="C103" s="22" t="s">
        <v>1479</v>
      </c>
      <c r="D103" s="56" t="s">
        <v>1053</v>
      </c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31"/>
      <c r="Q103" s="3" t="str">
        <f t="shared" si="2"/>
        <v/>
      </c>
      <c r="R103" s="46">
        <v>103</v>
      </c>
      <c r="S103" s="44" t="b">
        <f>B103=0.5</f>
        <v>1</v>
      </c>
    </row>
    <row r="104" spans="1:19" x14ac:dyDescent="0.25">
      <c r="A104" s="30" t="s">
        <v>1314</v>
      </c>
      <c r="B104" s="23">
        <v>0.5</v>
      </c>
      <c r="C104" s="22" t="s">
        <v>1479</v>
      </c>
      <c r="D104" s="56" t="s">
        <v>1054</v>
      </c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31"/>
      <c r="Q104" s="3" t="str">
        <f t="shared" si="2"/>
        <v/>
      </c>
      <c r="R104" s="46">
        <v>104</v>
      </c>
      <c r="S104" s="44" t="b">
        <f>B104=0.5</f>
        <v>1</v>
      </c>
    </row>
    <row r="105" spans="1:19" x14ac:dyDescent="0.25">
      <c r="A105" s="30" t="s">
        <v>1315</v>
      </c>
      <c r="B105" s="23" t="s">
        <v>1055</v>
      </c>
      <c r="C105" s="22"/>
      <c r="D105" s="56" t="s">
        <v>1056</v>
      </c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31"/>
      <c r="Q105" s="3" t="str">
        <f t="shared" si="2"/>
        <v/>
      </c>
      <c r="R105" s="46">
        <v>105</v>
      </c>
      <c r="S105" s="44" t="b">
        <f>ISTEXT(B105)</f>
        <v>1</v>
      </c>
    </row>
    <row r="106" spans="1:19" x14ac:dyDescent="0.25">
      <c r="A106" s="30" t="s">
        <v>1316</v>
      </c>
      <c r="B106" s="23" t="s">
        <v>1758</v>
      </c>
      <c r="C106" s="22"/>
      <c r="D106" s="56" t="s">
        <v>1057</v>
      </c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31"/>
      <c r="Q106" s="3" t="str">
        <f t="shared" si="2"/>
        <v/>
      </c>
      <c r="R106" s="46">
        <v>106</v>
      </c>
      <c r="S106" s="44" t="b">
        <f>ISTEXT(B106)</f>
        <v>1</v>
      </c>
    </row>
    <row r="107" spans="1:19" x14ac:dyDescent="0.25">
      <c r="A107" s="30" t="s">
        <v>1317</v>
      </c>
      <c r="B107" s="23">
        <v>1.7</v>
      </c>
      <c r="C107" s="22" t="s">
        <v>1479</v>
      </c>
      <c r="D107" s="56" t="s">
        <v>1058</v>
      </c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31"/>
      <c r="Q107" s="3" t="str">
        <f t="shared" si="2"/>
        <v/>
      </c>
      <c r="R107" s="46">
        <v>107</v>
      </c>
      <c r="S107" s="44" t="b">
        <f>AND(B107&gt;0,ISNUMBER(B107))</f>
        <v>1</v>
      </c>
    </row>
    <row r="108" spans="1:19" x14ac:dyDescent="0.25">
      <c r="A108" s="30" t="s">
        <v>1318</v>
      </c>
      <c r="B108" s="23">
        <v>120</v>
      </c>
      <c r="C108" s="22" t="s">
        <v>1479</v>
      </c>
      <c r="D108" s="56" t="s">
        <v>1059</v>
      </c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31"/>
      <c r="Q108" s="3" t="str">
        <f t="shared" si="2"/>
        <v/>
      </c>
      <c r="R108" s="46">
        <v>108</v>
      </c>
      <c r="S108" s="44" t="b">
        <f>AND(B108&gt;0,ISNUMBER(B108))</f>
        <v>1</v>
      </c>
    </row>
    <row r="109" spans="1:19" x14ac:dyDescent="0.25">
      <c r="A109" s="30" t="s">
        <v>1319</v>
      </c>
      <c r="B109" s="23">
        <v>0</v>
      </c>
      <c r="C109" s="22"/>
      <c r="D109" s="56" t="s">
        <v>1060</v>
      </c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31"/>
      <c r="Q109" s="3" t="str">
        <f t="shared" si="2"/>
        <v/>
      </c>
      <c r="R109" s="46">
        <v>109</v>
      </c>
      <c r="S109" s="44" t="b">
        <f>B109=0</f>
        <v>1</v>
      </c>
    </row>
    <row r="110" spans="1:19" x14ac:dyDescent="0.25">
      <c r="A110" s="30" t="s">
        <v>1320</v>
      </c>
      <c r="B110" s="23">
        <v>0</v>
      </c>
      <c r="C110" s="22" t="s">
        <v>1479</v>
      </c>
      <c r="D110" s="56" t="s">
        <v>1061</v>
      </c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31"/>
      <c r="Q110" s="3" t="str">
        <f t="shared" si="2"/>
        <v/>
      </c>
      <c r="R110" s="46">
        <v>110</v>
      </c>
      <c r="S110" s="44" t="b">
        <f>B110=0</f>
        <v>1</v>
      </c>
    </row>
    <row r="111" spans="1:19" x14ac:dyDescent="0.25">
      <c r="A111" s="30" t="s">
        <v>1321</v>
      </c>
      <c r="B111" s="23">
        <v>0</v>
      </c>
      <c r="C111" s="22" t="s">
        <v>1479</v>
      </c>
      <c r="D111" s="56" t="s">
        <v>1062</v>
      </c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31"/>
      <c r="Q111" s="3" t="str">
        <f t="shared" si="2"/>
        <v/>
      </c>
      <c r="R111" s="46">
        <v>111</v>
      </c>
      <c r="S111" s="44" t="b">
        <f>B111=0</f>
        <v>1</v>
      </c>
    </row>
    <row r="112" spans="1:19" x14ac:dyDescent="0.25">
      <c r="A112" s="30" t="s">
        <v>1322</v>
      </c>
      <c r="B112" s="23">
        <v>120</v>
      </c>
      <c r="C112" s="22" t="s">
        <v>1479</v>
      </c>
      <c r="D112" s="56" t="s">
        <v>1063</v>
      </c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31"/>
      <c r="Q112" s="3" t="str">
        <f t="shared" si="2"/>
        <v/>
      </c>
      <c r="R112" s="46">
        <v>112</v>
      </c>
      <c r="S112" s="44" t="b">
        <f>AND(B112&gt;0, ISNUMBER(B112))</f>
        <v>1</v>
      </c>
    </row>
    <row r="113" spans="1:19" x14ac:dyDescent="0.25">
      <c r="A113" s="30" t="s">
        <v>1323</v>
      </c>
      <c r="B113" s="23" t="s">
        <v>1759</v>
      </c>
      <c r="C113" s="22"/>
      <c r="D113" s="56" t="s">
        <v>1064</v>
      </c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31"/>
      <c r="Q113" s="3" t="str">
        <f t="shared" si="2"/>
        <v/>
      </c>
      <c r="R113" s="46">
        <v>113</v>
      </c>
      <c r="S113" s="44" t="b">
        <f>ISTEXT(B113)</f>
        <v>1</v>
      </c>
    </row>
    <row r="114" spans="1:19" x14ac:dyDescent="0.25">
      <c r="A114" s="30" t="s">
        <v>1324</v>
      </c>
      <c r="B114" s="23">
        <v>0</v>
      </c>
      <c r="C114" s="22"/>
      <c r="D114" s="56" t="s">
        <v>1197</v>
      </c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31"/>
      <c r="Q114" s="3" t="str">
        <f t="shared" si="2"/>
        <v/>
      </c>
      <c r="R114" s="46">
        <v>114</v>
      </c>
      <c r="S114" s="44" t="b">
        <f>OR(B114=0,B114=1)</f>
        <v>1</v>
      </c>
    </row>
    <row r="115" spans="1:19" x14ac:dyDescent="0.25">
      <c r="A115" s="30" t="s">
        <v>1325</v>
      </c>
      <c r="B115" s="23">
        <v>0</v>
      </c>
      <c r="C115" s="22"/>
      <c r="D115" s="56" t="s">
        <v>1065</v>
      </c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31"/>
      <c r="Q115" s="3" t="str">
        <f t="shared" si="2"/>
        <v/>
      </c>
      <c r="R115" s="46">
        <v>115</v>
      </c>
      <c r="S115" s="44" t="b">
        <f>B115=0</f>
        <v>1</v>
      </c>
    </row>
    <row r="116" spans="1:19" x14ac:dyDescent="0.25">
      <c r="A116" s="30" t="s">
        <v>1326</v>
      </c>
      <c r="B116" s="23">
        <v>0</v>
      </c>
      <c r="C116" s="22" t="s">
        <v>1479</v>
      </c>
      <c r="D116" s="56" t="s">
        <v>1066</v>
      </c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31"/>
      <c r="Q116" s="3" t="str">
        <f t="shared" si="2"/>
        <v/>
      </c>
      <c r="R116" s="46">
        <v>116</v>
      </c>
      <c r="S116" s="44" t="b">
        <f>B116=0</f>
        <v>1</v>
      </c>
    </row>
    <row r="117" spans="1:19" x14ac:dyDescent="0.25">
      <c r="A117" s="30" t="s">
        <v>1327</v>
      </c>
      <c r="B117" s="23">
        <v>0.95</v>
      </c>
      <c r="C117" s="22"/>
      <c r="D117" s="56" t="s">
        <v>1067</v>
      </c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31"/>
      <c r="Q117" s="3" t="str">
        <f t="shared" si="2"/>
        <v/>
      </c>
      <c r="R117" s="46">
        <v>117</v>
      </c>
      <c r="S117" s="44" t="b">
        <f>AND(B117&gt;0,ISNUMBER(B117))</f>
        <v>1</v>
      </c>
    </row>
    <row r="118" spans="1:19" x14ac:dyDescent="0.25">
      <c r="A118" s="30" t="s">
        <v>1328</v>
      </c>
      <c r="B118" s="23">
        <v>38</v>
      </c>
      <c r="C118" s="22"/>
      <c r="D118" s="56" t="s">
        <v>1068</v>
      </c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31"/>
      <c r="Q118" s="3" t="str">
        <f t="shared" si="2"/>
        <v/>
      </c>
      <c r="R118" s="46">
        <v>118</v>
      </c>
      <c r="S118" s="44" t="b">
        <f>AND(ISEVEN(B118),ISNUMBER(B118),B118&gt;=36)</f>
        <v>1</v>
      </c>
    </row>
    <row r="119" spans="1:19" x14ac:dyDescent="0.25">
      <c r="A119" s="30" t="s">
        <v>1329</v>
      </c>
      <c r="B119" s="23" t="s">
        <v>1069</v>
      </c>
      <c r="C119" s="22"/>
      <c r="D119" s="56" t="s">
        <v>1198</v>
      </c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31"/>
      <c r="Q119" s="3" t="str">
        <f t="shared" si="2"/>
        <v/>
      </c>
      <c r="R119" s="46">
        <v>119</v>
      </c>
      <c r="S119" s="44" t="b">
        <f>OR(B119="R",B119="L",B119="T",B119="NLV",B119="NRA",B119="NTH",B119="NLG")</f>
        <v>1</v>
      </c>
    </row>
    <row r="120" spans="1:19" x14ac:dyDescent="0.25">
      <c r="A120" s="30" t="s">
        <v>1330</v>
      </c>
      <c r="B120" s="23">
        <v>0</v>
      </c>
      <c r="C120" s="22"/>
      <c r="D120" s="56" t="s">
        <v>1199</v>
      </c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31"/>
      <c r="Q120" s="3" t="str">
        <f t="shared" si="2"/>
        <v/>
      </c>
      <c r="R120" s="46">
        <v>120</v>
      </c>
      <c r="S120" s="44" t="b">
        <f>OR(B120=0,B120=1)</f>
        <v>1</v>
      </c>
    </row>
    <row r="121" spans="1:19" x14ac:dyDescent="0.25">
      <c r="A121" s="30" t="s">
        <v>1331</v>
      </c>
      <c r="B121" s="23">
        <v>0</v>
      </c>
      <c r="C121" s="22"/>
      <c r="D121" s="56" t="s">
        <v>1070</v>
      </c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31"/>
      <c r="Q121" s="3" t="str">
        <f t="shared" si="2"/>
        <v/>
      </c>
      <c r="R121" s="46">
        <v>121</v>
      </c>
      <c r="S121" s="44" t="b">
        <f>AND(B121&gt;=0,ISNUMBER(B121))</f>
        <v>1</v>
      </c>
    </row>
    <row r="122" spans="1:19" x14ac:dyDescent="0.25">
      <c r="A122" s="30" t="s">
        <v>1332</v>
      </c>
      <c r="B122" s="23" t="s">
        <v>1071</v>
      </c>
      <c r="C122" s="22"/>
      <c r="D122" s="56" t="s">
        <v>1200</v>
      </c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31"/>
      <c r="Q122" s="3" t="str">
        <f t="shared" si="2"/>
        <v/>
      </c>
      <c r="R122" s="46">
        <v>122</v>
      </c>
      <c r="S122" s="44" t="b">
        <f>OR(B122="C",B122="L",B122="T")</f>
        <v>1</v>
      </c>
    </row>
    <row r="123" spans="1:19" x14ac:dyDescent="0.25">
      <c r="A123" s="30" t="s">
        <v>1333</v>
      </c>
      <c r="B123" s="23">
        <v>0</v>
      </c>
      <c r="C123" s="22" t="s">
        <v>1479</v>
      </c>
      <c r="D123" s="56" t="s">
        <v>1072</v>
      </c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31"/>
      <c r="Q123" s="3" t="str">
        <f t="shared" si="2"/>
        <v/>
      </c>
      <c r="R123" s="46">
        <v>123</v>
      </c>
      <c r="S123" s="44" t="b">
        <f>AND(B123&gt;=0,ISNUMBER(B123))</f>
        <v>1</v>
      </c>
    </row>
    <row r="124" spans="1:19" x14ac:dyDescent="0.25">
      <c r="A124" s="30" t="s">
        <v>1334</v>
      </c>
      <c r="B124" s="23">
        <v>0</v>
      </c>
      <c r="C124" s="22" t="s">
        <v>1485</v>
      </c>
      <c r="D124" s="56" t="s">
        <v>1218</v>
      </c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31"/>
      <c r="Q124" s="3" t="str">
        <f t="shared" si="2"/>
        <v/>
      </c>
      <c r="R124" s="46">
        <v>124</v>
      </c>
      <c r="S124" s="44" t="b">
        <f>B124=0</f>
        <v>1</v>
      </c>
    </row>
    <row r="125" spans="1:19" x14ac:dyDescent="0.25">
      <c r="A125" s="30" t="s">
        <v>1335</v>
      </c>
      <c r="B125" s="23">
        <v>3</v>
      </c>
      <c r="C125" s="22" t="s">
        <v>1479</v>
      </c>
      <c r="D125" s="56" t="s">
        <v>1073</v>
      </c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31"/>
      <c r="Q125" s="3" t="str">
        <f t="shared" si="2"/>
        <v/>
      </c>
      <c r="R125" s="46">
        <v>125</v>
      </c>
      <c r="S125" s="44" t="b">
        <f>AND(B125&gt;0,ISNUMBER(B125))</f>
        <v>1</v>
      </c>
    </row>
    <row r="126" spans="1:19" x14ac:dyDescent="0.25">
      <c r="A126" s="30" t="s">
        <v>1336</v>
      </c>
      <c r="B126" s="23">
        <v>1</v>
      </c>
      <c r="C126" s="22" t="s">
        <v>1479</v>
      </c>
      <c r="D126" s="56" t="s">
        <v>1074</v>
      </c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31"/>
      <c r="Q126" s="3" t="str">
        <f t="shared" si="2"/>
        <v/>
      </c>
      <c r="R126" s="46">
        <v>126</v>
      </c>
      <c r="S126" s="44" t="b">
        <f>AND(B126&gt;0,ISNUMBER(B126))</f>
        <v>1</v>
      </c>
    </row>
    <row r="127" spans="1:19" x14ac:dyDescent="0.25">
      <c r="A127" s="30" t="s">
        <v>1337</v>
      </c>
      <c r="B127" s="23">
        <v>0</v>
      </c>
      <c r="C127" s="22" t="s">
        <v>1479</v>
      </c>
      <c r="D127" s="56" t="s">
        <v>1201</v>
      </c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31"/>
      <c r="Q127" s="3" t="str">
        <f t="shared" si="2"/>
        <v/>
      </c>
      <c r="R127" s="46">
        <v>127</v>
      </c>
      <c r="S127" s="44" t="b">
        <f>AND(B127&gt;=0,ISNUMBER(B127))</f>
        <v>1</v>
      </c>
    </row>
    <row r="128" spans="1:19" x14ac:dyDescent="0.25">
      <c r="A128" s="30" t="s">
        <v>1338</v>
      </c>
      <c r="B128" s="23">
        <v>0</v>
      </c>
      <c r="C128" s="22" t="s">
        <v>1479</v>
      </c>
      <c r="D128" s="56" t="s">
        <v>1075</v>
      </c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31"/>
      <c r="Q128" s="3" t="str">
        <f t="shared" si="2"/>
        <v/>
      </c>
      <c r="R128" s="46">
        <v>128</v>
      </c>
      <c r="S128" s="44" t="b">
        <f>AND(B128&gt;=0,ISNUMBER(B128))</f>
        <v>1</v>
      </c>
    </row>
    <row r="129" spans="1:19" x14ac:dyDescent="0.25">
      <c r="A129" s="30" t="s">
        <v>1451</v>
      </c>
      <c r="B129" s="23">
        <v>0</v>
      </c>
      <c r="C129" s="22" t="s">
        <v>1479</v>
      </c>
      <c r="D129" s="56" t="s">
        <v>1202</v>
      </c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31"/>
      <c r="Q129" s="3" t="str">
        <f t="shared" si="2"/>
        <v/>
      </c>
      <c r="R129" s="46">
        <v>129</v>
      </c>
      <c r="S129" s="44" t="b">
        <f>AND(B129&gt;=0,ISNUMBER(B129))</f>
        <v>1</v>
      </c>
    </row>
    <row r="130" spans="1:19" x14ac:dyDescent="0.25">
      <c r="A130" s="30" t="s">
        <v>1339</v>
      </c>
      <c r="B130" s="23">
        <v>8.6999999999999993</v>
      </c>
      <c r="C130" s="22" t="s">
        <v>1479</v>
      </c>
      <c r="D130" s="56" t="s">
        <v>1203</v>
      </c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31"/>
      <c r="Q130" s="3" t="str">
        <f t="shared" si="2"/>
        <v/>
      </c>
      <c r="R130" s="46">
        <v>130</v>
      </c>
      <c r="S130" s="44" t="b">
        <f>AND(B130&gt;B136,ISNUMBER(B130))</f>
        <v>1</v>
      </c>
    </row>
    <row r="131" spans="1:19" x14ac:dyDescent="0.25">
      <c r="A131" s="30" t="s">
        <v>1340</v>
      </c>
      <c r="B131" s="23">
        <v>0</v>
      </c>
      <c r="C131" s="22" t="s">
        <v>1479</v>
      </c>
      <c r="D131" s="56" t="s">
        <v>1076</v>
      </c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31"/>
      <c r="Q131" s="3" t="str">
        <f t="shared" si="2"/>
        <v/>
      </c>
      <c r="R131" s="46">
        <v>131</v>
      </c>
      <c r="S131" s="44" t="b">
        <f>AND(B131&gt;=0,ISNUMBER(B131))</f>
        <v>1</v>
      </c>
    </row>
    <row r="132" spans="1:19" x14ac:dyDescent="0.25">
      <c r="A132" s="30" t="s">
        <v>1341</v>
      </c>
      <c r="B132" s="23">
        <v>32.6</v>
      </c>
      <c r="C132" s="22" t="s">
        <v>1479</v>
      </c>
      <c r="D132" s="56" t="s">
        <v>1077</v>
      </c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31"/>
      <c r="Q132" s="3" t="str">
        <f t="shared" si="2"/>
        <v/>
      </c>
      <c r="R132" s="46">
        <v>132</v>
      </c>
      <c r="S132" s="44" t="b">
        <f>AND(B132&gt;B1369,ISNUMBER(B132))</f>
        <v>1</v>
      </c>
    </row>
    <row r="133" spans="1:19" x14ac:dyDescent="0.25">
      <c r="A133" s="30" t="s">
        <v>1342</v>
      </c>
      <c r="B133" s="23">
        <v>0</v>
      </c>
      <c r="C133" s="22" t="s">
        <v>1479</v>
      </c>
      <c r="D133" s="56" t="s">
        <v>1078</v>
      </c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31"/>
      <c r="Q133" s="3" t="str">
        <f t="shared" si="2"/>
        <v/>
      </c>
      <c r="R133" s="46">
        <v>133</v>
      </c>
      <c r="S133" s="44" t="b">
        <f>AND(B133&gt;=0,ISNUMBER(B133))</f>
        <v>1</v>
      </c>
    </row>
    <row r="134" spans="1:19" x14ac:dyDescent="0.25">
      <c r="A134" s="30" t="s">
        <v>1343</v>
      </c>
      <c r="B134" s="23">
        <v>0</v>
      </c>
      <c r="C134" s="22" t="s">
        <v>1479</v>
      </c>
      <c r="D134" s="56" t="s">
        <v>1079</v>
      </c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31"/>
      <c r="Q134" s="3" t="str">
        <f t="shared" si="2"/>
        <v/>
      </c>
      <c r="R134" s="46">
        <v>134</v>
      </c>
      <c r="S134" s="44" t="b">
        <f>AND(B134&gt;=0,ISNUMBER(B134))</f>
        <v>1</v>
      </c>
    </row>
    <row r="135" spans="1:19" x14ac:dyDescent="0.25">
      <c r="A135" s="30" t="s">
        <v>1344</v>
      </c>
      <c r="B135" s="23">
        <v>0</v>
      </c>
      <c r="C135" s="22" t="s">
        <v>1479</v>
      </c>
      <c r="D135" s="56" t="s">
        <v>1080</v>
      </c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31"/>
      <c r="Q135" s="3" t="str">
        <f t="shared" si="2"/>
        <v/>
      </c>
      <c r="R135" s="46">
        <v>135</v>
      </c>
      <c r="S135" s="44" t="b">
        <f>AND(B135&gt;=0,ISNUMBER(B135))</f>
        <v>1</v>
      </c>
    </row>
    <row r="136" spans="1:19" x14ac:dyDescent="0.25">
      <c r="A136" s="30" t="s">
        <v>1345</v>
      </c>
      <c r="B136" s="23">
        <v>8</v>
      </c>
      <c r="C136" s="22" t="s">
        <v>1479</v>
      </c>
      <c r="D136" s="56" t="s">
        <v>1204</v>
      </c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31"/>
      <c r="Q136" s="3" t="str">
        <f t="shared" si="2"/>
        <v/>
      </c>
      <c r="R136" s="46">
        <v>136</v>
      </c>
      <c r="S136" s="44" t="b">
        <f>AND(B136&gt;=0,ISNUMBER(B136))</f>
        <v>1</v>
      </c>
    </row>
    <row r="137" spans="1:19" x14ac:dyDescent="0.25">
      <c r="A137" s="30" t="s">
        <v>1346</v>
      </c>
      <c r="B137" s="23">
        <v>32</v>
      </c>
      <c r="C137" s="22" t="s">
        <v>1479</v>
      </c>
      <c r="D137" s="56" t="s">
        <v>1205</v>
      </c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31"/>
      <c r="Q137" s="3" t="str">
        <f t="shared" ref="Q137:Q200" si="3">IF($P$7=A137,1,"")</f>
        <v/>
      </c>
      <c r="R137" s="46">
        <v>137</v>
      </c>
      <c r="S137" s="44" t="b">
        <f>AND(B137&gt;=0,ISNUMBER(B137))</f>
        <v>1</v>
      </c>
    </row>
    <row r="138" spans="1:19" x14ac:dyDescent="0.25">
      <c r="A138" s="30" t="s">
        <v>1347</v>
      </c>
      <c r="B138" s="23">
        <v>-1</v>
      </c>
      <c r="C138" s="22" t="s">
        <v>1479</v>
      </c>
      <c r="D138" s="56" t="s">
        <v>1081</v>
      </c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31"/>
      <c r="Q138" s="3" t="str">
        <f t="shared" si="3"/>
        <v/>
      </c>
      <c r="R138" s="46">
        <v>138</v>
      </c>
      <c r="S138" s="44" t="b">
        <f>B138=-1</f>
        <v>1</v>
      </c>
    </row>
    <row r="139" spans="1:19" x14ac:dyDescent="0.25">
      <c r="A139" s="30" t="s">
        <v>1348</v>
      </c>
      <c r="B139" s="23">
        <v>1.79</v>
      </c>
      <c r="C139" s="22" t="s">
        <v>1486</v>
      </c>
      <c r="D139" s="56" t="s">
        <v>1082</v>
      </c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31"/>
      <c r="Q139" s="3" t="str">
        <f t="shared" si="3"/>
        <v/>
      </c>
      <c r="R139" s="46">
        <v>139</v>
      </c>
      <c r="S139" s="44" t="b">
        <f>AND(B139&gt;0,ISNUMBER(B139))</f>
        <v>1</v>
      </c>
    </row>
    <row r="140" spans="1:19" x14ac:dyDescent="0.25">
      <c r="A140" s="30" t="s">
        <v>1349</v>
      </c>
      <c r="B140" s="23">
        <v>4.0000000000000001E-3</v>
      </c>
      <c r="C140" s="22" t="s">
        <v>1487</v>
      </c>
      <c r="D140" s="56" t="s">
        <v>1083</v>
      </c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31"/>
      <c r="Q140" s="3" t="str">
        <f t="shared" si="3"/>
        <v/>
      </c>
      <c r="R140" s="46">
        <v>140</v>
      </c>
      <c r="S140" s="44" t="b">
        <f>AND(B140&gt;0,ISNUMBER(B140))</f>
        <v>1</v>
      </c>
    </row>
    <row r="141" spans="1:19" x14ac:dyDescent="0.25">
      <c r="A141" s="30" t="s">
        <v>1350</v>
      </c>
      <c r="B141" s="23">
        <v>427</v>
      </c>
      <c r="C141" s="22" t="s">
        <v>1479</v>
      </c>
      <c r="D141" s="56" t="s">
        <v>1084</v>
      </c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31"/>
      <c r="Q141" s="3" t="str">
        <f t="shared" si="3"/>
        <v/>
      </c>
      <c r="R141" s="46">
        <v>141</v>
      </c>
      <c r="S141" s="44" t="b">
        <f>AND(B141&gt;0,ISNUMBER(B141))</f>
        <v>1</v>
      </c>
    </row>
    <row r="142" spans="1:19" x14ac:dyDescent="0.25">
      <c r="A142" s="30" t="s">
        <v>1351</v>
      </c>
      <c r="B142" s="23">
        <v>0</v>
      </c>
      <c r="C142" s="22" t="s">
        <v>1486</v>
      </c>
      <c r="D142" s="56" t="s">
        <v>1085</v>
      </c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31"/>
      <c r="Q142" s="3" t="str">
        <f t="shared" si="3"/>
        <v/>
      </c>
      <c r="R142" s="46">
        <v>142</v>
      </c>
      <c r="S142" s="44" t="b">
        <f>AND(B142&gt;=0,ISNUMBER(B142))</f>
        <v>1</v>
      </c>
    </row>
    <row r="143" spans="1:19" x14ac:dyDescent="0.25">
      <c r="A143" s="30" t="s">
        <v>1461</v>
      </c>
      <c r="B143" s="23">
        <v>0</v>
      </c>
      <c r="C143" s="22" t="s">
        <v>1487</v>
      </c>
      <c r="D143" s="56" t="s">
        <v>1086</v>
      </c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31"/>
      <c r="Q143" s="3" t="str">
        <f t="shared" si="3"/>
        <v/>
      </c>
      <c r="R143" s="46">
        <v>143</v>
      </c>
      <c r="S143" s="44" t="b">
        <f>AND(B143&gt;=0,ISNUMBER(B143))</f>
        <v>1</v>
      </c>
    </row>
    <row r="144" spans="1:19" x14ac:dyDescent="0.25">
      <c r="A144" s="30" t="s">
        <v>1352</v>
      </c>
      <c r="B144" s="23">
        <v>0</v>
      </c>
      <c r="C144" s="22" t="s">
        <v>1479</v>
      </c>
      <c r="D144" s="56" t="s">
        <v>1087</v>
      </c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31"/>
      <c r="Q144" s="3" t="str">
        <f t="shared" si="3"/>
        <v/>
      </c>
      <c r="R144" s="46">
        <v>144</v>
      </c>
      <c r="S144" s="44" t="b">
        <f>AND(B144&gt;=0,ISNUMBER(B144))</f>
        <v>1</v>
      </c>
    </row>
    <row r="145" spans="1:19" x14ac:dyDescent="0.25">
      <c r="A145" s="30" t="s">
        <v>1353</v>
      </c>
      <c r="B145" s="23">
        <v>1.79</v>
      </c>
      <c r="C145" s="22" t="s">
        <v>1486</v>
      </c>
      <c r="D145" s="56" t="s">
        <v>1088</v>
      </c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31"/>
      <c r="Q145" s="3" t="str">
        <f t="shared" si="3"/>
        <v/>
      </c>
      <c r="R145" s="46">
        <v>145</v>
      </c>
      <c r="S145" s="44" t="b">
        <f>AND(B145&gt;0,ISNUMBER(B145))</f>
        <v>1</v>
      </c>
    </row>
    <row r="146" spans="1:19" x14ac:dyDescent="0.25">
      <c r="A146" s="30" t="s">
        <v>1460</v>
      </c>
      <c r="B146" s="23">
        <v>4.0000000000000001E-3</v>
      </c>
      <c r="C146" s="22" t="s">
        <v>1487</v>
      </c>
      <c r="D146" s="56" t="s">
        <v>1089</v>
      </c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31"/>
      <c r="Q146" s="3" t="str">
        <f t="shared" si="3"/>
        <v/>
      </c>
      <c r="R146" s="46">
        <v>146</v>
      </c>
      <c r="S146" s="44" t="b">
        <f>AND(B146&gt;0,ISNUMBER(B146))</f>
        <v>1</v>
      </c>
    </row>
    <row r="147" spans="1:19" x14ac:dyDescent="0.25">
      <c r="A147" s="30" t="s">
        <v>1354</v>
      </c>
      <c r="B147" s="23">
        <v>15</v>
      </c>
      <c r="C147" s="22" t="s">
        <v>1479</v>
      </c>
      <c r="D147" s="56" t="s">
        <v>1090</v>
      </c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31"/>
      <c r="Q147" s="3" t="str">
        <f t="shared" si="3"/>
        <v/>
      </c>
      <c r="R147" s="46">
        <v>147</v>
      </c>
      <c r="S147" s="44" t="b">
        <f>AND(B147&gt;0,ISNUMBER(B147))</f>
        <v>1</v>
      </c>
    </row>
    <row r="148" spans="1:19" x14ac:dyDescent="0.25">
      <c r="A148" s="30" t="s">
        <v>1355</v>
      </c>
      <c r="B148" s="23">
        <v>45</v>
      </c>
      <c r="C148" s="22" t="s">
        <v>1479</v>
      </c>
      <c r="D148" s="56" t="s">
        <v>1091</v>
      </c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31"/>
      <c r="Q148" s="3" t="str">
        <f t="shared" si="3"/>
        <v/>
      </c>
      <c r="R148" s="46">
        <v>148</v>
      </c>
      <c r="S148" s="44" t="b">
        <f>AND(B148&gt;0,ISNUMBER(B148))</f>
        <v>1</v>
      </c>
    </row>
    <row r="149" spans="1:19" x14ac:dyDescent="0.25">
      <c r="A149" s="30" t="s">
        <v>1356</v>
      </c>
      <c r="B149" s="23">
        <v>276.5</v>
      </c>
      <c r="C149" s="22" t="s">
        <v>1479</v>
      </c>
      <c r="D149" s="56" t="s">
        <v>1092</v>
      </c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31"/>
      <c r="Q149" s="3" t="str">
        <f t="shared" si="3"/>
        <v/>
      </c>
      <c r="R149" s="46">
        <v>149</v>
      </c>
      <c r="S149" s="44" t="b">
        <f>AND(B149&gt;0,ISNUMBER(B149))</f>
        <v>1</v>
      </c>
    </row>
    <row r="150" spans="1:19" x14ac:dyDescent="0.25">
      <c r="A150" s="30" t="s">
        <v>1357</v>
      </c>
      <c r="B150" s="23">
        <v>0</v>
      </c>
      <c r="C150" s="22" t="s">
        <v>1486</v>
      </c>
      <c r="D150" s="56" t="s">
        <v>1093</v>
      </c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31"/>
      <c r="Q150" s="3" t="str">
        <f t="shared" si="3"/>
        <v/>
      </c>
      <c r="R150" s="46">
        <v>150</v>
      </c>
      <c r="S150" s="44" t="b">
        <f>AND(B150&gt;=0,ISNUMBER(B150))</f>
        <v>1</v>
      </c>
    </row>
    <row r="151" spans="1:19" x14ac:dyDescent="0.25">
      <c r="A151" s="30" t="s">
        <v>1462</v>
      </c>
      <c r="B151" s="23">
        <v>0</v>
      </c>
      <c r="C151" s="22" t="s">
        <v>1487</v>
      </c>
      <c r="D151" s="56" t="s">
        <v>1094</v>
      </c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31"/>
      <c r="Q151" s="3" t="str">
        <f t="shared" si="3"/>
        <v/>
      </c>
      <c r="R151" s="46">
        <v>151</v>
      </c>
      <c r="S151" s="44" t="b">
        <f>AND(B151&gt;=0,ISNUMBER(B151))</f>
        <v>1</v>
      </c>
    </row>
    <row r="152" spans="1:19" x14ac:dyDescent="0.25">
      <c r="A152" s="30" t="s">
        <v>1358</v>
      </c>
      <c r="B152" s="23">
        <v>0</v>
      </c>
      <c r="C152" s="22" t="s">
        <v>1479</v>
      </c>
      <c r="D152" s="56" t="s">
        <v>1095</v>
      </c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31"/>
      <c r="Q152" s="3" t="str">
        <f t="shared" si="3"/>
        <v/>
      </c>
      <c r="R152" s="46">
        <v>152</v>
      </c>
      <c r="S152" s="44" t="b">
        <f>AND(B152&gt;=0,ISNUMBER(B152))</f>
        <v>1</v>
      </c>
    </row>
    <row r="153" spans="1:19" x14ac:dyDescent="0.25">
      <c r="A153" s="30" t="s">
        <v>1359</v>
      </c>
      <c r="B153" s="23">
        <v>0</v>
      </c>
      <c r="C153" s="22" t="s">
        <v>1479</v>
      </c>
      <c r="D153" s="56" t="s">
        <v>1096</v>
      </c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31"/>
      <c r="Q153" s="3" t="str">
        <f t="shared" si="3"/>
        <v/>
      </c>
      <c r="R153" s="46">
        <v>153</v>
      </c>
      <c r="S153" s="44" t="b">
        <f>AND(B153&gt;=0,ISNUMBER(B153))</f>
        <v>1</v>
      </c>
    </row>
    <row r="154" spans="1:19" x14ac:dyDescent="0.25">
      <c r="A154" s="30" t="s">
        <v>1360</v>
      </c>
      <c r="B154" s="23">
        <v>0</v>
      </c>
      <c r="C154" s="22" t="s">
        <v>1479</v>
      </c>
      <c r="D154" s="56" t="s">
        <v>1097</v>
      </c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31"/>
      <c r="Q154" s="3" t="str">
        <f t="shared" si="3"/>
        <v/>
      </c>
      <c r="R154" s="46">
        <v>154</v>
      </c>
      <c r="S154" s="44" t="b">
        <f>AND(B154&gt;=0,ISNUMBER(B154))</f>
        <v>1</v>
      </c>
    </row>
    <row r="155" spans="1:19" x14ac:dyDescent="0.25">
      <c r="A155" s="30" t="s">
        <v>1361</v>
      </c>
      <c r="B155" s="23">
        <v>38</v>
      </c>
      <c r="C155" s="22"/>
      <c r="D155" s="56" t="s">
        <v>1098</v>
      </c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31"/>
      <c r="Q155" s="3" t="str">
        <f t="shared" si="3"/>
        <v/>
      </c>
      <c r="R155" s="46">
        <v>155</v>
      </c>
      <c r="S155" s="44" t="b">
        <f>AND(INT(B155)=B155,B155&gt;0)</f>
        <v>1</v>
      </c>
    </row>
    <row r="156" spans="1:19" x14ac:dyDescent="0.25">
      <c r="A156" s="30" t="s">
        <v>1362</v>
      </c>
      <c r="B156" s="23">
        <v>11</v>
      </c>
      <c r="C156" s="22" t="s">
        <v>1479</v>
      </c>
      <c r="D156" s="56" t="s">
        <v>1099</v>
      </c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31"/>
      <c r="Q156" s="3" t="str">
        <f t="shared" si="3"/>
        <v/>
      </c>
      <c r="R156" s="46">
        <v>156</v>
      </c>
      <c r="S156" s="44" t="b">
        <f>AND(ISNUMBER(B156),B156&gt;0)</f>
        <v>1</v>
      </c>
    </row>
    <row r="157" spans="1:19" x14ac:dyDescent="0.25">
      <c r="A157" s="30" t="s">
        <v>1363</v>
      </c>
      <c r="B157" s="23">
        <v>7</v>
      </c>
      <c r="C157" s="22" t="s">
        <v>1479</v>
      </c>
      <c r="D157" s="56" t="s">
        <v>1100</v>
      </c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31"/>
      <c r="Q157" s="3" t="str">
        <f t="shared" si="3"/>
        <v/>
      </c>
      <c r="R157" s="46">
        <v>157</v>
      </c>
      <c r="S157" s="44" t="b">
        <f>AND(ISNUMBER(B157),B157&gt;0)</f>
        <v>1</v>
      </c>
    </row>
    <row r="158" spans="1:19" x14ac:dyDescent="0.25">
      <c r="A158" s="30" t="s">
        <v>1364</v>
      </c>
      <c r="B158" s="23">
        <v>28</v>
      </c>
      <c r="C158" s="22" t="s">
        <v>1479</v>
      </c>
      <c r="D158" s="56" t="s">
        <v>1101</v>
      </c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31"/>
      <c r="Q158" s="3" t="str">
        <f t="shared" si="3"/>
        <v/>
      </c>
      <c r="R158" s="46">
        <v>158</v>
      </c>
      <c r="S158" s="44" t="b">
        <v>1</v>
      </c>
    </row>
    <row r="159" spans="1:19" x14ac:dyDescent="0.25">
      <c r="A159" s="30" t="s">
        <v>1365</v>
      </c>
      <c r="B159" s="23">
        <v>208</v>
      </c>
      <c r="C159" s="22" t="s">
        <v>1479</v>
      </c>
      <c r="D159" s="56" t="s">
        <v>1102</v>
      </c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31"/>
      <c r="Q159" s="3" t="str">
        <f t="shared" si="3"/>
        <v/>
      </c>
      <c r="R159" s="46">
        <v>159</v>
      </c>
      <c r="S159" s="44" t="b">
        <v>1</v>
      </c>
    </row>
    <row r="160" spans="1:19" x14ac:dyDescent="0.25">
      <c r="A160" s="30" t="s">
        <v>1452</v>
      </c>
      <c r="B160" s="23" t="s">
        <v>985</v>
      </c>
      <c r="C160" s="22"/>
      <c r="D160" s="56" t="s">
        <v>1206</v>
      </c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31"/>
      <c r="Q160" s="3" t="str">
        <f t="shared" si="3"/>
        <v/>
      </c>
      <c r="R160" s="46">
        <v>160</v>
      </c>
      <c r="S160" s="44" t="b">
        <f>OR(B160="S",B160="")</f>
        <v>1</v>
      </c>
    </row>
    <row r="161" spans="1:19" x14ac:dyDescent="0.25">
      <c r="A161" s="30" t="s">
        <v>1366</v>
      </c>
      <c r="B161" s="23"/>
      <c r="C161" s="22"/>
      <c r="D161" s="56" t="s">
        <v>1103</v>
      </c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31"/>
      <c r="Q161" s="3" t="str">
        <f t="shared" si="3"/>
        <v/>
      </c>
      <c r="R161" s="46">
        <v>161</v>
      </c>
      <c r="S161" s="44" t="b">
        <f t="shared" ref="S160:S173" si="4">B161=""</f>
        <v>1</v>
      </c>
    </row>
    <row r="162" spans="1:19" x14ac:dyDescent="0.25">
      <c r="A162" s="30" t="s">
        <v>1367</v>
      </c>
      <c r="B162" s="23"/>
      <c r="C162" s="22"/>
      <c r="D162" s="56" t="s">
        <v>1104</v>
      </c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31"/>
      <c r="Q162" s="3" t="str">
        <f t="shared" si="3"/>
        <v/>
      </c>
      <c r="R162" s="46">
        <v>162</v>
      </c>
      <c r="S162" s="44" t="b">
        <f t="shared" si="4"/>
        <v>1</v>
      </c>
    </row>
    <row r="163" spans="1:19" x14ac:dyDescent="0.25">
      <c r="A163" s="30" t="s">
        <v>1368</v>
      </c>
      <c r="B163" s="23"/>
      <c r="C163" s="22"/>
      <c r="D163" s="56" t="s">
        <v>1105</v>
      </c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31"/>
      <c r="Q163" s="3" t="str">
        <f t="shared" si="3"/>
        <v/>
      </c>
      <c r="R163" s="46">
        <v>163</v>
      </c>
      <c r="S163" s="44" t="b">
        <f t="shared" si="4"/>
        <v>1</v>
      </c>
    </row>
    <row r="164" spans="1:19" x14ac:dyDescent="0.25">
      <c r="A164" s="30" t="s">
        <v>1369</v>
      </c>
      <c r="B164" s="23"/>
      <c r="C164" s="22"/>
      <c r="D164" s="56" t="s">
        <v>1106</v>
      </c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31"/>
      <c r="Q164" s="3" t="str">
        <f t="shared" si="3"/>
        <v/>
      </c>
      <c r="R164" s="46">
        <v>164</v>
      </c>
      <c r="S164" s="44" t="b">
        <f t="shared" si="4"/>
        <v>1</v>
      </c>
    </row>
    <row r="165" spans="1:19" x14ac:dyDescent="0.25">
      <c r="A165" s="30" t="s">
        <v>1370</v>
      </c>
      <c r="B165" s="23"/>
      <c r="C165" s="22"/>
      <c r="D165" s="56" t="s">
        <v>1107</v>
      </c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31"/>
      <c r="Q165" s="3" t="str">
        <f t="shared" si="3"/>
        <v/>
      </c>
      <c r="R165" s="46">
        <v>165</v>
      </c>
      <c r="S165" s="44" t="b">
        <f t="shared" si="4"/>
        <v>1</v>
      </c>
    </row>
    <row r="166" spans="1:19" x14ac:dyDescent="0.25">
      <c r="A166" s="30" t="s">
        <v>1371</v>
      </c>
      <c r="B166" s="23"/>
      <c r="C166" s="22"/>
      <c r="D166" s="56" t="s">
        <v>1108</v>
      </c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31"/>
      <c r="Q166" s="3" t="str">
        <f t="shared" si="3"/>
        <v/>
      </c>
      <c r="R166" s="46">
        <v>166</v>
      </c>
      <c r="S166" s="44" t="b">
        <f t="shared" si="4"/>
        <v>1</v>
      </c>
    </row>
    <row r="167" spans="1:19" x14ac:dyDescent="0.25">
      <c r="A167" s="30" t="s">
        <v>1372</v>
      </c>
      <c r="B167" s="23"/>
      <c r="C167" s="22" t="s">
        <v>1479</v>
      </c>
      <c r="D167" s="56" t="s">
        <v>1109</v>
      </c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31"/>
      <c r="Q167" s="3" t="str">
        <f t="shared" si="3"/>
        <v/>
      </c>
      <c r="R167" s="46">
        <v>167</v>
      </c>
      <c r="S167" s="44" t="b">
        <f t="shared" si="4"/>
        <v>1</v>
      </c>
    </row>
    <row r="168" spans="1:19" x14ac:dyDescent="0.25">
      <c r="A168" s="30" t="s">
        <v>1373</v>
      </c>
      <c r="B168" s="23"/>
      <c r="C168" s="22" t="s">
        <v>1481</v>
      </c>
      <c r="D168" s="56" t="s">
        <v>1110</v>
      </c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31"/>
      <c r="Q168" s="3" t="str">
        <f t="shared" si="3"/>
        <v/>
      </c>
      <c r="R168" s="46">
        <v>168</v>
      </c>
      <c r="S168" s="44" t="b">
        <f t="shared" si="4"/>
        <v>1</v>
      </c>
    </row>
    <row r="169" spans="1:19" x14ac:dyDescent="0.25">
      <c r="A169" s="30" t="s">
        <v>1374</v>
      </c>
      <c r="B169" s="23"/>
      <c r="C169" s="22"/>
      <c r="D169" s="56" t="s">
        <v>1111</v>
      </c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31"/>
      <c r="Q169" s="3" t="str">
        <f t="shared" si="3"/>
        <v/>
      </c>
      <c r="R169" s="46">
        <v>169</v>
      </c>
      <c r="S169" s="44" t="b">
        <f t="shared" si="4"/>
        <v>1</v>
      </c>
    </row>
    <row r="170" spans="1:19" x14ac:dyDescent="0.25">
      <c r="A170" s="30" t="s">
        <v>1375</v>
      </c>
      <c r="B170" s="23"/>
      <c r="C170" s="22" t="s">
        <v>1479</v>
      </c>
      <c r="D170" s="56" t="s">
        <v>1112</v>
      </c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31"/>
      <c r="Q170" s="3" t="str">
        <f t="shared" si="3"/>
        <v/>
      </c>
      <c r="R170" s="46">
        <v>170</v>
      </c>
      <c r="S170" s="44" t="b">
        <f t="shared" si="4"/>
        <v>1</v>
      </c>
    </row>
    <row r="171" spans="1:19" x14ac:dyDescent="0.25">
      <c r="A171" s="30" t="s">
        <v>1376</v>
      </c>
      <c r="B171" s="23"/>
      <c r="C171" s="22" t="s">
        <v>1479</v>
      </c>
      <c r="D171" s="56" t="s">
        <v>1113</v>
      </c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31"/>
      <c r="Q171" s="3" t="str">
        <f t="shared" si="3"/>
        <v/>
      </c>
      <c r="R171" s="46">
        <v>171</v>
      </c>
      <c r="S171" s="44" t="b">
        <f t="shared" si="4"/>
        <v>1</v>
      </c>
    </row>
    <row r="172" spans="1:19" x14ac:dyDescent="0.25">
      <c r="A172" s="30" t="s">
        <v>1377</v>
      </c>
      <c r="B172" s="23"/>
      <c r="C172" s="22"/>
      <c r="D172" s="56" t="s">
        <v>1114</v>
      </c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31"/>
      <c r="Q172" s="3" t="str">
        <f t="shared" si="3"/>
        <v/>
      </c>
      <c r="R172" s="46">
        <v>172</v>
      </c>
      <c r="S172" s="44" t="b">
        <f t="shared" si="4"/>
        <v>1</v>
      </c>
    </row>
    <row r="173" spans="1:19" x14ac:dyDescent="0.25">
      <c r="A173" s="30" t="s">
        <v>1378</v>
      </c>
      <c r="B173" s="23"/>
      <c r="C173" s="22" t="s">
        <v>1481</v>
      </c>
      <c r="D173" s="56" t="s">
        <v>1115</v>
      </c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31"/>
      <c r="Q173" s="3" t="str">
        <f t="shared" si="3"/>
        <v/>
      </c>
      <c r="R173" s="46">
        <v>173</v>
      </c>
      <c r="S173" s="44" t="b">
        <f t="shared" si="4"/>
        <v>1</v>
      </c>
    </row>
    <row r="174" spans="1:19" x14ac:dyDescent="0.25">
      <c r="A174" s="30" t="s">
        <v>1379</v>
      </c>
      <c r="B174" s="23">
        <v>0.2</v>
      </c>
      <c r="C174" s="22" t="s">
        <v>1481</v>
      </c>
      <c r="D174" s="56" t="s">
        <v>1116</v>
      </c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31"/>
      <c r="Q174" s="3" t="str">
        <f t="shared" si="3"/>
        <v/>
      </c>
      <c r="R174" s="46">
        <v>174</v>
      </c>
      <c r="S174" s="44" t="b">
        <f>AND(B174&gt;0,ISNUMBER(B174))</f>
        <v>1</v>
      </c>
    </row>
    <row r="175" spans="1:19" x14ac:dyDescent="0.25">
      <c r="A175" s="30" t="s">
        <v>1380</v>
      </c>
      <c r="B175" s="23">
        <v>5</v>
      </c>
      <c r="C175" s="22"/>
      <c r="D175" s="56" t="s">
        <v>1207</v>
      </c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31"/>
      <c r="Q175" s="3" t="str">
        <f t="shared" si="3"/>
        <v/>
      </c>
      <c r="R175" s="46">
        <v>175</v>
      </c>
      <c r="S175" s="44" t="b">
        <f>AND(INT(B175)=B175,B175&gt;=0,B175&lt;=5)</f>
        <v>1</v>
      </c>
    </row>
    <row r="176" spans="1:19" x14ac:dyDescent="0.25">
      <c r="A176" s="30" t="s">
        <v>1381</v>
      </c>
      <c r="B176" s="23">
        <v>1.25</v>
      </c>
      <c r="C176" s="22" t="s">
        <v>1481</v>
      </c>
      <c r="D176" s="56" t="s">
        <v>1117</v>
      </c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31"/>
      <c r="Q176" s="3" t="str">
        <f t="shared" si="3"/>
        <v/>
      </c>
      <c r="R176" s="46">
        <v>176</v>
      </c>
      <c r="S176" s="44" t="b">
        <f>AND(ISNUMBER(B176),B176&gt;=0)</f>
        <v>1</v>
      </c>
    </row>
    <row r="177" spans="1:19" x14ac:dyDescent="0.25">
      <c r="A177" s="30" t="s">
        <v>1382</v>
      </c>
      <c r="B177" s="23">
        <v>1</v>
      </c>
      <c r="C177" s="22" t="s">
        <v>1481</v>
      </c>
      <c r="D177" s="56" t="s">
        <v>1118</v>
      </c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31"/>
      <c r="Q177" s="3" t="str">
        <f t="shared" si="3"/>
        <v/>
      </c>
      <c r="R177" s="46">
        <v>177</v>
      </c>
      <c r="S177" s="44" t="b">
        <f>AND(ISNUMBER(B177),B177&gt;=0)</f>
        <v>1</v>
      </c>
    </row>
    <row r="178" spans="1:19" x14ac:dyDescent="0.25">
      <c r="A178" s="30" t="s">
        <v>1383</v>
      </c>
      <c r="B178" s="23">
        <v>0.75</v>
      </c>
      <c r="C178" s="22" t="s">
        <v>1481</v>
      </c>
      <c r="D178" s="56" t="s">
        <v>1119</v>
      </c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31"/>
      <c r="Q178" s="3" t="str">
        <f t="shared" si="3"/>
        <v/>
      </c>
      <c r="R178" s="46">
        <v>178</v>
      </c>
      <c r="S178" s="44" t="b">
        <f>AND(ISNUMBER(B178),B178&gt;=0)</f>
        <v>1</v>
      </c>
    </row>
    <row r="179" spans="1:19" x14ac:dyDescent="0.25">
      <c r="A179" s="30" t="s">
        <v>1384</v>
      </c>
      <c r="B179" s="23">
        <v>0.5</v>
      </c>
      <c r="C179" s="22" t="s">
        <v>1481</v>
      </c>
      <c r="D179" s="56" t="s">
        <v>1120</v>
      </c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31"/>
      <c r="Q179" s="3" t="str">
        <f t="shared" si="3"/>
        <v/>
      </c>
      <c r="R179" s="46">
        <v>179</v>
      </c>
      <c r="S179" s="44" t="b">
        <f>AND(ISNUMBER(B179),B179&gt;=0)</f>
        <v>1</v>
      </c>
    </row>
    <row r="180" spans="1:19" x14ac:dyDescent="0.25">
      <c r="A180" s="30" t="s">
        <v>1385</v>
      </c>
      <c r="B180" s="23">
        <v>0.25</v>
      </c>
      <c r="C180" s="22" t="s">
        <v>1481</v>
      </c>
      <c r="D180" s="56" t="s">
        <v>1121</v>
      </c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31"/>
      <c r="Q180" s="3" t="str">
        <f t="shared" si="3"/>
        <v/>
      </c>
      <c r="R180" s="46">
        <v>180</v>
      </c>
      <c r="S180" s="44" t="b">
        <f>AND(ISNUMBER(B180),B180&gt;=0)</f>
        <v>1</v>
      </c>
    </row>
    <row r="181" spans="1:19" x14ac:dyDescent="0.25">
      <c r="A181" s="30" t="s">
        <v>1386</v>
      </c>
      <c r="B181" s="23">
        <v>3</v>
      </c>
      <c r="C181" s="22"/>
      <c r="D181" s="56" t="s">
        <v>1122</v>
      </c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31"/>
      <c r="Q181" s="3" t="str">
        <f t="shared" si="3"/>
        <v/>
      </c>
      <c r="R181" s="46">
        <v>181</v>
      </c>
      <c r="S181" s="44" t="b">
        <f>AND(INT(B181)=B181,B181&gt;=0,B181&lt;=3)</f>
        <v>1</v>
      </c>
    </row>
    <row r="182" spans="1:19" x14ac:dyDescent="0.25">
      <c r="A182" s="30" t="s">
        <v>1387</v>
      </c>
      <c r="B182" s="23">
        <v>1</v>
      </c>
      <c r="C182" s="22" t="s">
        <v>1481</v>
      </c>
      <c r="D182" s="56" t="s">
        <v>1123</v>
      </c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31"/>
      <c r="Q182" s="3" t="str">
        <f t="shared" si="3"/>
        <v/>
      </c>
      <c r="R182" s="46">
        <v>182</v>
      </c>
      <c r="S182" s="44" t="b">
        <f t="shared" ref="S182:S187" si="5">AND(ISNUMBER(B182),B182&gt;=0)</f>
        <v>1</v>
      </c>
    </row>
    <row r="183" spans="1:19" x14ac:dyDescent="0.25">
      <c r="A183" s="30" t="s">
        <v>1388</v>
      </c>
      <c r="B183" s="23">
        <v>0.8</v>
      </c>
      <c r="C183" s="22" t="s">
        <v>1481</v>
      </c>
      <c r="D183" s="56" t="s">
        <v>1124</v>
      </c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31"/>
      <c r="Q183" s="3" t="str">
        <f t="shared" si="3"/>
        <v/>
      </c>
      <c r="R183" s="46">
        <v>183</v>
      </c>
      <c r="S183" s="44" t="b">
        <f t="shared" si="5"/>
        <v>1</v>
      </c>
    </row>
    <row r="184" spans="1:19" x14ac:dyDescent="0.25">
      <c r="A184" s="30" t="s">
        <v>1389</v>
      </c>
      <c r="B184" s="23">
        <v>0.7</v>
      </c>
      <c r="C184" s="22" t="s">
        <v>1481</v>
      </c>
      <c r="D184" s="56" t="s">
        <v>1125</v>
      </c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31"/>
      <c r="Q184" s="3" t="str">
        <f t="shared" si="3"/>
        <v/>
      </c>
      <c r="R184" s="46">
        <v>184</v>
      </c>
      <c r="S184" s="44" t="b">
        <f t="shared" si="5"/>
        <v>1</v>
      </c>
    </row>
    <row r="185" spans="1:19" x14ac:dyDescent="0.25">
      <c r="A185" s="30" t="s">
        <v>1390</v>
      </c>
      <c r="B185" s="23">
        <v>9.9999999999999995E-7</v>
      </c>
      <c r="C185" s="22" t="s">
        <v>1481</v>
      </c>
      <c r="D185" s="56" t="s">
        <v>1126</v>
      </c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31"/>
      <c r="Q185" s="3" t="str">
        <f t="shared" si="3"/>
        <v/>
      </c>
      <c r="R185" s="46">
        <v>185</v>
      </c>
      <c r="S185" s="44" t="b">
        <f t="shared" si="5"/>
        <v>1</v>
      </c>
    </row>
    <row r="186" spans="1:19" x14ac:dyDescent="0.25">
      <c r="A186" s="30" t="s">
        <v>1391</v>
      </c>
      <c r="B186" s="23">
        <v>9.9999999999999995E-7</v>
      </c>
      <c r="C186" s="22" t="s">
        <v>1481</v>
      </c>
      <c r="D186" s="56" t="s">
        <v>1127</v>
      </c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31"/>
      <c r="Q186" s="3" t="str">
        <f t="shared" si="3"/>
        <v/>
      </c>
      <c r="R186" s="46">
        <v>186</v>
      </c>
      <c r="S186" s="44" t="b">
        <f t="shared" si="5"/>
        <v>1</v>
      </c>
    </row>
    <row r="187" spans="1:19" x14ac:dyDescent="0.25">
      <c r="A187" s="30" t="s">
        <v>1392</v>
      </c>
      <c r="B187" s="23">
        <v>9.9999999999999995E-7</v>
      </c>
      <c r="C187" s="22" t="s">
        <v>1481</v>
      </c>
      <c r="D187" s="56" t="s">
        <v>1128</v>
      </c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31"/>
      <c r="Q187" s="3" t="str">
        <f t="shared" si="3"/>
        <v/>
      </c>
      <c r="R187" s="46">
        <v>187</v>
      </c>
      <c r="S187" s="44" t="b">
        <f t="shared" si="5"/>
        <v>1</v>
      </c>
    </row>
    <row r="188" spans="1:19" x14ac:dyDescent="0.25">
      <c r="A188" s="30" t="s">
        <v>1393</v>
      </c>
      <c r="B188" s="23">
        <v>1</v>
      </c>
      <c r="C188" s="22"/>
      <c r="D188" s="56" t="s">
        <v>1208</v>
      </c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31"/>
      <c r="Q188" s="3" t="str">
        <f t="shared" si="3"/>
        <v/>
      </c>
      <c r="R188" s="46">
        <v>188</v>
      </c>
      <c r="S188" s="44" t="b">
        <f>OR(B188=1,B188=2,B188=3)</f>
        <v>1</v>
      </c>
    </row>
    <row r="189" spans="1:19" x14ac:dyDescent="0.25">
      <c r="A189" s="30" t="s">
        <v>1394</v>
      </c>
      <c r="B189" s="23">
        <v>0.90000000099999999</v>
      </c>
      <c r="C189" s="22" t="s">
        <v>1481</v>
      </c>
      <c r="D189" s="56" t="s">
        <v>1129</v>
      </c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31"/>
      <c r="Q189" s="3" t="str">
        <f t="shared" si="3"/>
        <v/>
      </c>
      <c r="R189" s="46">
        <v>189</v>
      </c>
      <c r="S189" s="44" t="b">
        <f>AND(ISNUMBER(B189),B189&gt;=0)</f>
        <v>1</v>
      </c>
    </row>
    <row r="190" spans="1:19" x14ac:dyDescent="0.25">
      <c r="A190" s="30" t="s">
        <v>1395</v>
      </c>
      <c r="B190" s="23">
        <v>50</v>
      </c>
      <c r="C190" s="22" t="s">
        <v>1488</v>
      </c>
      <c r="D190" s="56" t="s">
        <v>1130</v>
      </c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31"/>
      <c r="Q190" s="3" t="str">
        <f t="shared" si="3"/>
        <v/>
      </c>
      <c r="R190" s="46">
        <v>190</v>
      </c>
      <c r="S190" s="44" t="b">
        <f>AND(ISNUMBER(B190),B190&gt;=0)</f>
        <v>1</v>
      </c>
    </row>
    <row r="191" spans="1:19" x14ac:dyDescent="0.25">
      <c r="A191" s="30" t="s">
        <v>1396</v>
      </c>
      <c r="B191" s="23">
        <v>0.15</v>
      </c>
      <c r="C191" s="22" t="s">
        <v>1481</v>
      </c>
      <c r="D191" s="56" t="s">
        <v>1131</v>
      </c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31"/>
      <c r="Q191" s="3" t="str">
        <f t="shared" si="3"/>
        <v/>
      </c>
      <c r="R191" s="46">
        <v>191</v>
      </c>
      <c r="S191" s="44" t="b">
        <f t="shared" ref="S191:S203" si="6">AND(ISNUMBER(B191),B191&gt;=0,B191&lt;=1)</f>
        <v>1</v>
      </c>
    </row>
    <row r="192" spans="1:19" x14ac:dyDescent="0.25">
      <c r="A192" s="30" t="s">
        <v>1397</v>
      </c>
      <c r="B192" s="23">
        <v>0.02</v>
      </c>
      <c r="C192" s="22" t="s">
        <v>1481</v>
      </c>
      <c r="D192" s="56" t="s">
        <v>1132</v>
      </c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31"/>
      <c r="Q192" s="3" t="str">
        <f t="shared" si="3"/>
        <v/>
      </c>
      <c r="R192" s="46">
        <v>192</v>
      </c>
      <c r="S192" s="44" t="b">
        <f t="shared" si="6"/>
        <v>1</v>
      </c>
    </row>
    <row r="193" spans="1:19" x14ac:dyDescent="0.25">
      <c r="A193" s="30" t="s">
        <v>1398</v>
      </c>
      <c r="B193" s="23">
        <v>9.1827360000000004E-3</v>
      </c>
      <c r="C193" s="22" t="s">
        <v>1481</v>
      </c>
      <c r="D193" s="56" t="s">
        <v>1133</v>
      </c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31"/>
      <c r="Q193" s="3" t="str">
        <f t="shared" si="3"/>
        <v/>
      </c>
      <c r="R193" s="46">
        <v>193</v>
      </c>
      <c r="S193" s="44" t="b">
        <f t="shared" si="6"/>
        <v>1</v>
      </c>
    </row>
    <row r="194" spans="1:19" x14ac:dyDescent="0.25">
      <c r="A194" s="30" t="s">
        <v>1399</v>
      </c>
      <c r="B194" s="23">
        <v>3.6730946E-2</v>
      </c>
      <c r="C194" s="22" t="s">
        <v>1481</v>
      </c>
      <c r="D194" s="56" t="s">
        <v>1134</v>
      </c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31"/>
      <c r="Q194" s="3" t="str">
        <f t="shared" si="3"/>
        <v/>
      </c>
      <c r="R194" s="46">
        <v>194</v>
      </c>
      <c r="S194" s="44" t="b">
        <f t="shared" si="6"/>
        <v>1</v>
      </c>
    </row>
    <row r="195" spans="1:19" x14ac:dyDescent="0.25">
      <c r="A195" s="30" t="s">
        <v>1400</v>
      </c>
      <c r="B195" s="23">
        <v>8.2644627999999998E-2</v>
      </c>
      <c r="C195" s="22" t="s">
        <v>1481</v>
      </c>
      <c r="D195" s="56" t="s">
        <v>1135</v>
      </c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31"/>
      <c r="Q195" s="3" t="str">
        <f t="shared" si="3"/>
        <v/>
      </c>
      <c r="R195" s="46">
        <v>195</v>
      </c>
      <c r="S195" s="44" t="b">
        <f t="shared" si="6"/>
        <v>1</v>
      </c>
    </row>
    <row r="196" spans="1:19" x14ac:dyDescent="0.25">
      <c r="A196" s="30" t="s">
        <v>1401</v>
      </c>
      <c r="B196" s="23">
        <v>0.146923783</v>
      </c>
      <c r="C196" s="22" t="s">
        <v>1481</v>
      </c>
      <c r="D196" s="56" t="s">
        <v>1136</v>
      </c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31"/>
      <c r="Q196" s="3" t="str">
        <f t="shared" si="3"/>
        <v/>
      </c>
      <c r="R196" s="46">
        <v>196</v>
      </c>
      <c r="S196" s="44" t="b">
        <f t="shared" si="6"/>
        <v>1</v>
      </c>
    </row>
    <row r="197" spans="1:19" x14ac:dyDescent="0.25">
      <c r="A197" s="30" t="s">
        <v>1402</v>
      </c>
      <c r="B197" s="23">
        <v>0.229568412</v>
      </c>
      <c r="C197" s="22" t="s">
        <v>1481</v>
      </c>
      <c r="D197" s="56" t="s">
        <v>1137</v>
      </c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31"/>
      <c r="Q197" s="3" t="str">
        <f t="shared" si="3"/>
        <v/>
      </c>
      <c r="R197" s="46">
        <v>197</v>
      </c>
      <c r="S197" s="44" t="b">
        <f t="shared" si="6"/>
        <v>1</v>
      </c>
    </row>
    <row r="198" spans="1:19" x14ac:dyDescent="0.25">
      <c r="A198" s="30" t="s">
        <v>1403</v>
      </c>
      <c r="B198" s="23">
        <v>0.33057851300000002</v>
      </c>
      <c r="C198" s="22" t="s">
        <v>1481</v>
      </c>
      <c r="D198" s="56" t="s">
        <v>1138</v>
      </c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31"/>
      <c r="Q198" s="3" t="str">
        <f t="shared" si="3"/>
        <v/>
      </c>
      <c r="R198" s="46">
        <v>198</v>
      </c>
      <c r="S198" s="44" t="b">
        <f t="shared" si="6"/>
        <v>1</v>
      </c>
    </row>
    <row r="199" spans="1:19" x14ac:dyDescent="0.25">
      <c r="A199" s="30" t="s">
        <v>1404</v>
      </c>
      <c r="B199" s="23">
        <v>0.449954087</v>
      </c>
      <c r="C199" s="22" t="s">
        <v>1481</v>
      </c>
      <c r="D199" s="56" t="s">
        <v>1139</v>
      </c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31"/>
      <c r="Q199" s="3" t="str">
        <f t="shared" si="3"/>
        <v/>
      </c>
      <c r="R199" s="46">
        <v>199</v>
      </c>
      <c r="S199" s="44" t="b">
        <f t="shared" si="6"/>
        <v>1</v>
      </c>
    </row>
    <row r="200" spans="1:19" x14ac:dyDescent="0.25">
      <c r="A200" s="30" t="s">
        <v>1405</v>
      </c>
      <c r="B200" s="23">
        <v>0.58769513399999995</v>
      </c>
      <c r="C200" s="22" t="s">
        <v>1481</v>
      </c>
      <c r="D200" s="56" t="s">
        <v>1140</v>
      </c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31"/>
      <c r="Q200" s="3" t="str">
        <f t="shared" si="3"/>
        <v/>
      </c>
      <c r="R200" s="46">
        <v>200</v>
      </c>
      <c r="S200" s="44" t="b">
        <f t="shared" si="6"/>
        <v>1</v>
      </c>
    </row>
    <row r="201" spans="1:19" x14ac:dyDescent="0.25">
      <c r="A201" s="30" t="s">
        <v>1406</v>
      </c>
      <c r="B201" s="23">
        <v>0.74380165399999998</v>
      </c>
      <c r="C201" s="22" t="s">
        <v>1481</v>
      </c>
      <c r="D201" s="56" t="s">
        <v>1141</v>
      </c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31"/>
      <c r="Q201" s="3" t="str">
        <f t="shared" ref="Q201:Q245" si="7">IF($P$7=A201,1,"")</f>
        <v/>
      </c>
      <c r="R201" s="46">
        <v>201</v>
      </c>
      <c r="S201" s="44" t="b">
        <f t="shared" si="6"/>
        <v>1</v>
      </c>
    </row>
    <row r="202" spans="1:19" x14ac:dyDescent="0.25">
      <c r="A202" s="30" t="s">
        <v>1407</v>
      </c>
      <c r="B202" s="23">
        <v>0.82874196600000005</v>
      </c>
      <c r="C202" s="22" t="s">
        <v>1481</v>
      </c>
      <c r="D202" s="56" t="s">
        <v>1142</v>
      </c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31"/>
      <c r="Q202" s="3" t="str">
        <f t="shared" si="7"/>
        <v/>
      </c>
      <c r="R202" s="46">
        <v>202</v>
      </c>
      <c r="S202" s="44" t="b">
        <f t="shared" si="6"/>
        <v>1</v>
      </c>
    </row>
    <row r="203" spans="1:19" x14ac:dyDescent="0.25">
      <c r="A203" s="30" t="s">
        <v>1408</v>
      </c>
      <c r="B203" s="23">
        <v>0.90000000099999999</v>
      </c>
      <c r="C203" s="22" t="s">
        <v>1481</v>
      </c>
      <c r="D203" s="56" t="s">
        <v>1209</v>
      </c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31"/>
      <c r="Q203" s="3" t="str">
        <f t="shared" si="7"/>
        <v/>
      </c>
      <c r="R203" s="46">
        <v>203</v>
      </c>
      <c r="S203" s="44" t="b">
        <f t="shared" si="6"/>
        <v>1</v>
      </c>
    </row>
    <row r="204" spans="1:19" x14ac:dyDescent="0.25">
      <c r="A204" s="30" t="s">
        <v>1409</v>
      </c>
      <c r="B204" s="23">
        <v>1</v>
      </c>
      <c r="C204" s="22"/>
      <c r="D204" s="56" t="s">
        <v>1173</v>
      </c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31"/>
      <c r="Q204" s="3" t="str">
        <f t="shared" si="7"/>
        <v/>
      </c>
      <c r="R204" s="46">
        <v>204</v>
      </c>
      <c r="S204" s="44" t="b">
        <f>AND(INT(B204),B204&gt;=0)</f>
        <v>1</v>
      </c>
    </row>
    <row r="205" spans="1:19" x14ac:dyDescent="0.25">
      <c r="A205" s="30" t="s">
        <v>1410</v>
      </c>
      <c r="B205" s="23">
        <v>14.8</v>
      </c>
      <c r="C205" s="22" t="s">
        <v>1476</v>
      </c>
      <c r="D205" s="56" t="s">
        <v>1176</v>
      </c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31"/>
      <c r="Q205" s="3" t="str">
        <f t="shared" si="7"/>
        <v/>
      </c>
      <c r="R205" s="46">
        <v>205</v>
      </c>
      <c r="S205" s="44" t="b">
        <f>AND(ISNUMBER(B205),B205&gt;=0)</f>
        <v>1</v>
      </c>
    </row>
    <row r="206" spans="1:19" x14ac:dyDescent="0.25">
      <c r="A206" s="30" t="s">
        <v>1411</v>
      </c>
      <c r="B206" s="23">
        <v>200</v>
      </c>
      <c r="C206" s="22"/>
      <c r="D206" s="56" t="s">
        <v>1143</v>
      </c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31"/>
      <c r="Q206" s="3" t="str">
        <f t="shared" si="7"/>
        <v/>
      </c>
      <c r="R206" s="46">
        <v>206</v>
      </c>
      <c r="S206" s="44" t="b">
        <f>AND(ISNUMBER(B206),B206&gt;=0)</f>
        <v>1</v>
      </c>
    </row>
    <row r="207" spans="1:19" x14ac:dyDescent="0.25">
      <c r="A207" s="30" t="s">
        <v>1412</v>
      </c>
      <c r="B207" s="23">
        <v>20</v>
      </c>
      <c r="C207" s="22"/>
      <c r="D207" s="56" t="s">
        <v>1144</v>
      </c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31"/>
      <c r="Q207" s="3" t="str">
        <f t="shared" si="7"/>
        <v/>
      </c>
      <c r="R207" s="46">
        <v>207</v>
      </c>
      <c r="S207" s="44" t="b">
        <f>AND(ISNUMBER(B207),B207&gt;=0)</f>
        <v>1</v>
      </c>
    </row>
    <row r="208" spans="1:19" x14ac:dyDescent="0.25">
      <c r="A208" s="30" t="s">
        <v>1453</v>
      </c>
      <c r="B208" s="23">
        <v>40</v>
      </c>
      <c r="C208" s="22" t="s">
        <v>1479</v>
      </c>
      <c r="D208" s="56" t="s">
        <v>1177</v>
      </c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31"/>
      <c r="Q208" s="3" t="str">
        <f t="shared" si="7"/>
        <v/>
      </c>
      <c r="R208" s="46">
        <v>208</v>
      </c>
      <c r="S208" s="44" t="b">
        <f>AND(ISNUMBER(B208),B208&gt;=0)</f>
        <v>1</v>
      </c>
    </row>
    <row r="209" spans="1:19" x14ac:dyDescent="0.25">
      <c r="A209" s="30" t="s">
        <v>1413</v>
      </c>
      <c r="B209" s="23" t="s">
        <v>1145</v>
      </c>
      <c r="C209" s="22"/>
      <c r="D209" s="56" t="s">
        <v>1146</v>
      </c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31"/>
      <c r="Q209" s="3" t="str">
        <f t="shared" si="7"/>
        <v/>
      </c>
      <c r="R209" s="46">
        <v>209</v>
      </c>
      <c r="S209" s="44" t="b">
        <f>ISTEXT(B209)</f>
        <v>1</v>
      </c>
    </row>
    <row r="210" spans="1:19" x14ac:dyDescent="0.25">
      <c r="A210" s="30" t="s">
        <v>1414</v>
      </c>
      <c r="B210" s="23">
        <v>1.1499999999999999</v>
      </c>
      <c r="C210" s="22" t="s">
        <v>1481</v>
      </c>
      <c r="D210" s="56" t="s">
        <v>1210</v>
      </c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31"/>
      <c r="Q210" s="3" t="str">
        <f t="shared" si="7"/>
        <v/>
      </c>
      <c r="R210" s="46">
        <v>210</v>
      </c>
      <c r="S210" s="44" t="b">
        <f>OR(B210=1.15,B210=1.2,B210=1,B210="Other")</f>
        <v>1</v>
      </c>
    </row>
    <row r="211" spans="1:19" x14ac:dyDescent="0.25">
      <c r="A211" s="30" t="s">
        <v>1415</v>
      </c>
      <c r="B211" s="23">
        <v>1.6</v>
      </c>
      <c r="C211" s="22" t="s">
        <v>1476</v>
      </c>
      <c r="D211" s="56" t="s">
        <v>1147</v>
      </c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31"/>
      <c r="Q211" s="3">
        <f t="shared" si="7"/>
        <v>1</v>
      </c>
      <c r="R211" s="46">
        <v>211</v>
      </c>
      <c r="S211" s="44" t="b">
        <f>AND(ISNUMBER(B211),B211&gt;=0)</f>
        <v>1</v>
      </c>
    </row>
    <row r="212" spans="1:19" x14ac:dyDescent="0.25">
      <c r="A212" s="30" t="s">
        <v>1454</v>
      </c>
      <c r="B212" s="23">
        <v>0</v>
      </c>
      <c r="C212" s="22"/>
      <c r="D212" s="56" t="s">
        <v>1211</v>
      </c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31"/>
      <c r="Q212" s="3" t="str">
        <f t="shared" si="7"/>
        <v/>
      </c>
      <c r="R212" s="46">
        <v>212</v>
      </c>
      <c r="S212" s="44" t="b">
        <f>OR(B212=0,B212=1,B212=3)</f>
        <v>1</v>
      </c>
    </row>
    <row r="213" spans="1:19" x14ac:dyDescent="0.25">
      <c r="A213" s="30" t="s">
        <v>1416</v>
      </c>
      <c r="B213" s="23">
        <v>1</v>
      </c>
      <c r="C213" s="22"/>
      <c r="D213" s="56" t="s">
        <v>1148</v>
      </c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31"/>
      <c r="Q213" s="3" t="str">
        <f t="shared" si="7"/>
        <v/>
      </c>
      <c r="R213" s="46">
        <v>213</v>
      </c>
      <c r="S213" s="44" t="b">
        <f>B213=1</f>
        <v>1</v>
      </c>
    </row>
    <row r="214" spans="1:19" x14ac:dyDescent="0.25">
      <c r="A214" s="30" t="s">
        <v>1417</v>
      </c>
      <c r="B214" s="23">
        <v>1.02</v>
      </c>
      <c r="C214" s="22" t="s">
        <v>1489</v>
      </c>
      <c r="D214" s="56" t="s">
        <v>1149</v>
      </c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31"/>
      <c r="Q214" s="3" t="str">
        <f t="shared" si="7"/>
        <v/>
      </c>
      <c r="R214" s="46">
        <v>214</v>
      </c>
      <c r="S214" s="44" t="b">
        <f>AND(ISNUMBER(B214),B214&gt;=0)</f>
        <v>1</v>
      </c>
    </row>
    <row r="215" spans="1:19" x14ac:dyDescent="0.25">
      <c r="A215" s="30" t="s">
        <v>1418</v>
      </c>
      <c r="B215" s="23">
        <v>1</v>
      </c>
      <c r="C215" s="22"/>
      <c r="D215" s="56" t="s">
        <v>1150</v>
      </c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31"/>
      <c r="Q215" s="3" t="str">
        <f t="shared" si="7"/>
        <v/>
      </c>
      <c r="R215" s="46">
        <v>215</v>
      </c>
      <c r="S215" s="44" t="b">
        <f>OR(B215=1,B215=2)</f>
        <v>1</v>
      </c>
    </row>
    <row r="216" spans="1:19" x14ac:dyDescent="0.25">
      <c r="A216" s="30" t="s">
        <v>1419</v>
      </c>
      <c r="B216" s="23">
        <v>825</v>
      </c>
      <c r="C216" s="22" t="s">
        <v>1479</v>
      </c>
      <c r="D216" s="56" t="s">
        <v>1151</v>
      </c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31"/>
      <c r="Q216" s="3" t="str">
        <f t="shared" si="7"/>
        <v/>
      </c>
      <c r="R216" s="46">
        <v>216</v>
      </c>
      <c r="S216" s="44" t="b">
        <f>AND(ISNUMBER(B216),B216&gt;0)</f>
        <v>1</v>
      </c>
    </row>
    <row r="217" spans="1:19" x14ac:dyDescent="0.25">
      <c r="A217" s="30" t="s">
        <v>1420</v>
      </c>
      <c r="B217" s="23">
        <v>0.52</v>
      </c>
      <c r="C217" s="22" t="s">
        <v>1479</v>
      </c>
      <c r="D217" s="56" t="s">
        <v>1152</v>
      </c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31"/>
      <c r="Q217" s="3" t="str">
        <f t="shared" si="7"/>
        <v/>
      </c>
      <c r="R217" s="46">
        <v>217</v>
      </c>
      <c r="S217" s="44" t="b">
        <f>AND(ISNUMBER(B217),B217&gt;0)</f>
        <v>1</v>
      </c>
    </row>
    <row r="218" spans="1:19" x14ac:dyDescent="0.25">
      <c r="A218" s="30" t="s">
        <v>1421</v>
      </c>
      <c r="B218" s="23">
        <v>0.5</v>
      </c>
      <c r="C218" s="22" t="s">
        <v>1479</v>
      </c>
      <c r="D218" s="56" t="s">
        <v>1153</v>
      </c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31"/>
      <c r="Q218" s="3" t="str">
        <f t="shared" si="7"/>
        <v/>
      </c>
      <c r="R218" s="46">
        <v>218</v>
      </c>
      <c r="S218" s="44" t="b">
        <f>AND(ISNUMBER(B218),B218&gt;0)</f>
        <v>1</v>
      </c>
    </row>
    <row r="219" spans="1:19" x14ac:dyDescent="0.25">
      <c r="A219" s="30" t="s">
        <v>1422</v>
      </c>
      <c r="B219" s="23">
        <v>0.37</v>
      </c>
      <c r="C219" s="22" t="s">
        <v>1479</v>
      </c>
      <c r="D219" s="56" t="s">
        <v>1154</v>
      </c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31"/>
      <c r="Q219" s="3" t="str">
        <f t="shared" si="7"/>
        <v/>
      </c>
      <c r="R219" s="46">
        <v>219</v>
      </c>
      <c r="S219" s="44" t="b">
        <f>AND(ISNUMBER(B219),B219&gt;0)</f>
        <v>1</v>
      </c>
    </row>
    <row r="220" spans="1:19" x14ac:dyDescent="0.25">
      <c r="A220" s="30" t="s">
        <v>1423</v>
      </c>
      <c r="B220" s="23">
        <v>0</v>
      </c>
      <c r="C220" s="22" t="s">
        <v>1479</v>
      </c>
      <c r="D220" s="56" t="s">
        <v>1155</v>
      </c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31"/>
      <c r="Q220" s="3" t="str">
        <f t="shared" si="7"/>
        <v/>
      </c>
      <c r="R220" s="46">
        <v>220</v>
      </c>
      <c r="S220" s="44" t="b">
        <f t="shared" ref="S220:S245" si="8">AND(ISNUMBER(B220),B220&gt;=0)</f>
        <v>1</v>
      </c>
    </row>
    <row r="221" spans="1:19" x14ac:dyDescent="0.25">
      <c r="A221" s="30" t="s">
        <v>1424</v>
      </c>
      <c r="B221" s="23">
        <v>1</v>
      </c>
      <c r="C221" s="22" t="s">
        <v>1479</v>
      </c>
      <c r="D221" s="56" t="s">
        <v>1156</v>
      </c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31"/>
      <c r="Q221" s="3" t="str">
        <f t="shared" si="7"/>
        <v/>
      </c>
      <c r="R221" s="46">
        <v>221</v>
      </c>
      <c r="S221" s="44" t="b">
        <f t="shared" si="8"/>
        <v>1</v>
      </c>
    </row>
    <row r="222" spans="1:19" x14ac:dyDescent="0.25">
      <c r="A222" s="30" t="s">
        <v>1425</v>
      </c>
      <c r="B222" s="23">
        <v>1.2</v>
      </c>
      <c r="C222" s="22" t="s">
        <v>1479</v>
      </c>
      <c r="D222" s="56" t="s">
        <v>1157</v>
      </c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31"/>
      <c r="Q222" s="3" t="str">
        <f t="shared" si="7"/>
        <v/>
      </c>
      <c r="R222" s="46">
        <v>222</v>
      </c>
      <c r="S222" s="44" t="b">
        <f t="shared" si="8"/>
        <v>1</v>
      </c>
    </row>
    <row r="223" spans="1:19" x14ac:dyDescent="0.25">
      <c r="A223" s="30" t="s">
        <v>1426</v>
      </c>
      <c r="B223" s="23">
        <v>1</v>
      </c>
      <c r="C223" s="22" t="s">
        <v>1479</v>
      </c>
      <c r="D223" s="56" t="s">
        <v>1158</v>
      </c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31"/>
      <c r="Q223" s="3" t="str">
        <f t="shared" si="7"/>
        <v/>
      </c>
      <c r="R223" s="46">
        <v>223</v>
      </c>
      <c r="S223" s="44" t="b">
        <f t="shared" si="8"/>
        <v>1</v>
      </c>
    </row>
    <row r="224" spans="1:19" x14ac:dyDescent="0.25">
      <c r="A224" s="30" t="s">
        <v>1427</v>
      </c>
      <c r="B224" s="23">
        <v>7</v>
      </c>
      <c r="C224" s="22" t="s">
        <v>1485</v>
      </c>
      <c r="D224" s="56" t="s">
        <v>1159</v>
      </c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31"/>
      <c r="Q224" s="3" t="str">
        <f t="shared" si="7"/>
        <v/>
      </c>
      <c r="R224" s="46">
        <v>224</v>
      </c>
      <c r="S224" s="44" t="b">
        <f t="shared" si="8"/>
        <v>1</v>
      </c>
    </row>
    <row r="225" spans="1:19" x14ac:dyDescent="0.25">
      <c r="A225" s="30" t="s">
        <v>1428</v>
      </c>
      <c r="B225" s="23">
        <v>0</v>
      </c>
      <c r="C225" s="22" t="s">
        <v>1485</v>
      </c>
      <c r="D225" s="56" t="s">
        <v>1160</v>
      </c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31"/>
      <c r="Q225" s="3" t="str">
        <f t="shared" si="7"/>
        <v/>
      </c>
      <c r="R225" s="46">
        <v>225</v>
      </c>
      <c r="S225" s="44" t="b">
        <f t="shared" si="8"/>
        <v>1</v>
      </c>
    </row>
    <row r="226" spans="1:19" x14ac:dyDescent="0.25">
      <c r="A226" s="30" t="s">
        <v>1429</v>
      </c>
      <c r="B226" s="23">
        <v>105</v>
      </c>
      <c r="C226" s="22"/>
      <c r="D226" s="56" t="s">
        <v>1174</v>
      </c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31"/>
      <c r="Q226" s="3" t="str">
        <f t="shared" si="7"/>
        <v/>
      </c>
      <c r="R226" s="46">
        <v>226</v>
      </c>
      <c r="S226" s="44" t="b">
        <f t="shared" si="8"/>
        <v>1</v>
      </c>
    </row>
    <row r="227" spans="1:19" x14ac:dyDescent="0.25">
      <c r="A227" s="30" t="s">
        <v>1430</v>
      </c>
      <c r="B227" s="23">
        <v>120</v>
      </c>
      <c r="C227" s="22"/>
      <c r="D227" s="56" t="s">
        <v>1175</v>
      </c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31"/>
      <c r="Q227" s="3" t="str">
        <f t="shared" si="7"/>
        <v/>
      </c>
      <c r="R227" s="46">
        <v>227</v>
      </c>
      <c r="S227" s="44" t="b">
        <f t="shared" si="8"/>
        <v>1</v>
      </c>
    </row>
    <row r="228" spans="1:19" x14ac:dyDescent="0.25">
      <c r="A228" s="30" t="s">
        <v>1455</v>
      </c>
      <c r="B228" s="23">
        <v>1</v>
      </c>
      <c r="C228" s="22"/>
      <c r="D228" s="56" t="s">
        <v>1212</v>
      </c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31"/>
      <c r="Q228" s="3" t="str">
        <f t="shared" si="7"/>
        <v/>
      </c>
      <c r="R228" s="46">
        <v>228</v>
      </c>
      <c r="S228" s="44" t="b">
        <f t="shared" si="8"/>
        <v>1</v>
      </c>
    </row>
    <row r="229" spans="1:19" x14ac:dyDescent="0.25">
      <c r="A229" s="30" t="s">
        <v>1457</v>
      </c>
      <c r="B229" s="23">
        <v>0.42</v>
      </c>
      <c r="C229" s="22"/>
      <c r="D229" s="56" t="s">
        <v>1213</v>
      </c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31"/>
      <c r="Q229" s="3" t="str">
        <f t="shared" si="7"/>
        <v/>
      </c>
      <c r="R229" s="46">
        <v>229</v>
      </c>
      <c r="S229" s="44" t="b">
        <f t="shared" si="8"/>
        <v>1</v>
      </c>
    </row>
    <row r="230" spans="1:19" x14ac:dyDescent="0.25">
      <c r="A230" s="30" t="s">
        <v>1458</v>
      </c>
      <c r="B230" s="23">
        <v>0.35</v>
      </c>
      <c r="C230" s="22"/>
      <c r="D230" s="56" t="s">
        <v>1214</v>
      </c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31"/>
      <c r="Q230" s="3" t="str">
        <f t="shared" si="7"/>
        <v/>
      </c>
      <c r="R230" s="46">
        <v>230</v>
      </c>
      <c r="S230" s="44" t="b">
        <f t="shared" si="8"/>
        <v>1</v>
      </c>
    </row>
    <row r="231" spans="1:19" x14ac:dyDescent="0.25">
      <c r="A231" s="30" t="s">
        <v>1456</v>
      </c>
      <c r="B231" s="23">
        <v>0.2</v>
      </c>
      <c r="C231" s="22"/>
      <c r="D231" s="56" t="s">
        <v>1215</v>
      </c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31"/>
      <c r="Q231" s="3" t="str">
        <f t="shared" si="7"/>
        <v/>
      </c>
      <c r="R231" s="46">
        <v>231</v>
      </c>
      <c r="S231" s="44" t="b">
        <f t="shared" si="8"/>
        <v>1</v>
      </c>
    </row>
    <row r="232" spans="1:19" x14ac:dyDescent="0.25">
      <c r="A232" s="30" t="s">
        <v>1463</v>
      </c>
      <c r="B232" s="23">
        <v>0.5</v>
      </c>
      <c r="C232" s="22"/>
      <c r="D232" s="56" t="s">
        <v>1216</v>
      </c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31"/>
      <c r="Q232" s="3" t="str">
        <f t="shared" si="7"/>
        <v/>
      </c>
      <c r="R232" s="46">
        <v>232</v>
      </c>
      <c r="S232" s="44" t="b">
        <f t="shared" si="8"/>
        <v>1</v>
      </c>
    </row>
    <row r="233" spans="1:19" x14ac:dyDescent="0.25">
      <c r="A233" s="30" t="s">
        <v>1431</v>
      </c>
      <c r="B233" s="23">
        <v>1.63</v>
      </c>
      <c r="C233" s="22"/>
      <c r="D233" s="56" t="s">
        <v>1161</v>
      </c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31"/>
      <c r="Q233" s="3" t="str">
        <f t="shared" si="7"/>
        <v/>
      </c>
      <c r="R233" s="46">
        <v>233</v>
      </c>
      <c r="S233" s="44" t="b">
        <f t="shared" si="8"/>
        <v>1</v>
      </c>
    </row>
    <row r="234" spans="1:19" x14ac:dyDescent="0.25">
      <c r="A234" s="30" t="s">
        <v>1432</v>
      </c>
      <c r="B234" s="23">
        <v>0.38500000000000001</v>
      </c>
      <c r="C234" s="22" t="s">
        <v>1490</v>
      </c>
      <c r="D234" s="56" t="s">
        <v>1162</v>
      </c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31"/>
      <c r="Q234" s="3" t="str">
        <f t="shared" si="7"/>
        <v/>
      </c>
      <c r="R234" s="46">
        <v>234</v>
      </c>
      <c r="S234" s="44" t="b">
        <f t="shared" si="8"/>
        <v>1</v>
      </c>
    </row>
    <row r="235" spans="1:19" x14ac:dyDescent="0.25">
      <c r="A235" s="30" t="s">
        <v>1459</v>
      </c>
      <c r="B235" s="23">
        <v>0.46600000000000003</v>
      </c>
      <c r="C235" s="22" t="s">
        <v>1490</v>
      </c>
      <c r="D235" s="56" t="s">
        <v>1217</v>
      </c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31"/>
      <c r="Q235" s="3" t="str">
        <f t="shared" si="7"/>
        <v/>
      </c>
      <c r="R235" s="46">
        <v>235</v>
      </c>
      <c r="S235" s="44" t="b">
        <f t="shared" si="8"/>
        <v>1</v>
      </c>
    </row>
    <row r="236" spans="1:19" x14ac:dyDescent="0.25">
      <c r="A236" s="30" t="s">
        <v>1433</v>
      </c>
      <c r="B236" s="23">
        <v>0.39400000000000002</v>
      </c>
      <c r="C236" s="22" t="s">
        <v>1490</v>
      </c>
      <c r="D236" s="56" t="s">
        <v>1163</v>
      </c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31"/>
      <c r="Q236" s="3" t="str">
        <f t="shared" si="7"/>
        <v/>
      </c>
      <c r="R236" s="46">
        <v>236</v>
      </c>
      <c r="S236" s="44" t="b">
        <f t="shared" si="8"/>
        <v>1</v>
      </c>
    </row>
    <row r="237" spans="1:19" x14ac:dyDescent="0.25">
      <c r="A237" s="30" t="s">
        <v>1434</v>
      </c>
      <c r="B237" s="23">
        <v>0.39400000000000002</v>
      </c>
      <c r="C237" s="22" t="s">
        <v>1490</v>
      </c>
      <c r="D237" s="56" t="s">
        <v>1164</v>
      </c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31"/>
      <c r="Q237" s="3" t="str">
        <f t="shared" si="7"/>
        <v/>
      </c>
      <c r="R237" s="46">
        <v>237</v>
      </c>
      <c r="S237" s="44" t="b">
        <f t="shared" si="8"/>
        <v>1</v>
      </c>
    </row>
    <row r="238" spans="1:19" x14ac:dyDescent="0.25">
      <c r="A238" s="30" t="s">
        <v>1435</v>
      </c>
      <c r="B238" s="23">
        <v>0.4</v>
      </c>
      <c r="C238" s="22" t="s">
        <v>1490</v>
      </c>
      <c r="D238" s="56" t="s">
        <v>1165</v>
      </c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31"/>
      <c r="Q238" s="3" t="str">
        <f t="shared" si="7"/>
        <v/>
      </c>
      <c r="R238" s="46">
        <v>238</v>
      </c>
      <c r="S238" s="44" t="b">
        <f t="shared" si="8"/>
        <v>1</v>
      </c>
    </row>
    <row r="239" spans="1:19" x14ac:dyDescent="0.25">
      <c r="A239" s="30" t="s">
        <v>1436</v>
      </c>
      <c r="B239" s="23">
        <v>0.4</v>
      </c>
      <c r="C239" s="22" t="s">
        <v>1490</v>
      </c>
      <c r="D239" s="56" t="s">
        <v>1166</v>
      </c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31"/>
      <c r="Q239" s="3" t="str">
        <f t="shared" si="7"/>
        <v/>
      </c>
      <c r="R239" s="46">
        <v>239</v>
      </c>
      <c r="S239" s="44" t="b">
        <f t="shared" si="8"/>
        <v>1</v>
      </c>
    </row>
    <row r="240" spans="1:19" x14ac:dyDescent="0.25">
      <c r="A240" s="30" t="s">
        <v>1437</v>
      </c>
      <c r="B240" s="23">
        <v>8933</v>
      </c>
      <c r="C240" s="22" t="s">
        <v>1491</v>
      </c>
      <c r="D240" s="56" t="s">
        <v>1167</v>
      </c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31"/>
      <c r="Q240" s="3" t="str">
        <f t="shared" si="7"/>
        <v/>
      </c>
      <c r="R240" s="46">
        <v>240</v>
      </c>
      <c r="S240" s="44" t="b">
        <f t="shared" si="8"/>
        <v>1</v>
      </c>
    </row>
    <row r="241" spans="1:19" x14ac:dyDescent="0.25">
      <c r="A241" s="30" t="s">
        <v>1438</v>
      </c>
      <c r="B241" s="23">
        <v>7850</v>
      </c>
      <c r="C241" s="22" t="s">
        <v>1491</v>
      </c>
      <c r="D241" s="56" t="s">
        <v>1168</v>
      </c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31"/>
      <c r="Q241" s="3" t="str">
        <f t="shared" si="7"/>
        <v/>
      </c>
      <c r="R241" s="46">
        <v>241</v>
      </c>
      <c r="S241" s="44" t="b">
        <f t="shared" si="8"/>
        <v>1</v>
      </c>
    </row>
    <row r="242" spans="1:19" x14ac:dyDescent="0.25">
      <c r="A242" s="30" t="s">
        <v>1439</v>
      </c>
      <c r="B242" s="23">
        <v>8933</v>
      </c>
      <c r="C242" s="22" t="s">
        <v>1491</v>
      </c>
      <c r="D242" s="56" t="s">
        <v>1169</v>
      </c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31"/>
      <c r="Q242" s="3" t="str">
        <f t="shared" si="7"/>
        <v/>
      </c>
      <c r="R242" s="46">
        <v>242</v>
      </c>
      <c r="S242" s="44" t="b">
        <f t="shared" si="8"/>
        <v>1</v>
      </c>
    </row>
    <row r="243" spans="1:19" x14ac:dyDescent="0.25">
      <c r="A243" s="30" t="s">
        <v>1440</v>
      </c>
      <c r="B243" s="23">
        <v>8933</v>
      </c>
      <c r="C243" s="22" t="s">
        <v>1491</v>
      </c>
      <c r="D243" s="56" t="s">
        <v>1170</v>
      </c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31"/>
      <c r="Q243" s="3" t="str">
        <f t="shared" si="7"/>
        <v/>
      </c>
      <c r="R243" s="46">
        <v>243</v>
      </c>
      <c r="S243" s="44" t="b">
        <f t="shared" si="8"/>
        <v>1</v>
      </c>
    </row>
    <row r="244" spans="1:19" x14ac:dyDescent="0.25">
      <c r="A244" s="30" t="s">
        <v>1441</v>
      </c>
      <c r="B244" s="23">
        <v>8933</v>
      </c>
      <c r="C244" s="22" t="s">
        <v>1491</v>
      </c>
      <c r="D244" s="56" t="s">
        <v>1171</v>
      </c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31"/>
      <c r="Q244" s="3" t="str">
        <f t="shared" si="7"/>
        <v/>
      </c>
      <c r="R244" s="46">
        <v>244</v>
      </c>
      <c r="S244" s="44" t="b">
        <f t="shared" si="8"/>
        <v>1</v>
      </c>
    </row>
    <row r="245" spans="1:19" x14ac:dyDescent="0.25">
      <c r="A245" s="48" t="s">
        <v>1442</v>
      </c>
      <c r="B245" s="49">
        <v>8933</v>
      </c>
      <c r="C245" s="50" t="s">
        <v>1491</v>
      </c>
      <c r="D245" s="57" t="s">
        <v>1172</v>
      </c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1"/>
      <c r="Q245" s="3" t="str">
        <f t="shared" si="7"/>
        <v/>
      </c>
      <c r="R245" s="47">
        <v>245</v>
      </c>
      <c r="S245" s="45" t="b">
        <f t="shared" si="8"/>
        <v>1</v>
      </c>
    </row>
    <row r="246" spans="1:19" x14ac:dyDescent="0.25">
      <c r="A246" s="20"/>
      <c r="B246" s="21"/>
      <c r="C246" s="3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3"/>
      <c r="R246" s="3"/>
    </row>
    <row r="247" spans="1:19" x14ac:dyDescent="0.25">
      <c r="A247" s="20"/>
      <c r="B247" s="21"/>
      <c r="C247" s="3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3"/>
      <c r="R247" s="3"/>
    </row>
    <row r="248" spans="1:19" x14ac:dyDescent="0.25">
      <c r="A248" s="20"/>
      <c r="B248" s="21"/>
      <c r="C248" s="3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3"/>
      <c r="R248" s="3"/>
    </row>
    <row r="249" spans="1:19" x14ac:dyDescent="0.25">
      <c r="A249" s="20"/>
      <c r="B249" s="21"/>
      <c r="C249" s="3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3"/>
      <c r="R249" s="3"/>
    </row>
    <row r="250" spans="1:19" x14ac:dyDescent="0.25">
      <c r="A250" s="20"/>
      <c r="B250" s="21"/>
      <c r="C250" s="3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3"/>
      <c r="R250" s="3"/>
    </row>
    <row r="251" spans="1:19" x14ac:dyDescent="0.25">
      <c r="A251" s="20"/>
      <c r="B251" s="21"/>
      <c r="C251" s="3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3"/>
      <c r="R251" s="3"/>
    </row>
    <row r="252" spans="1:19" x14ac:dyDescent="0.25">
      <c r="K252" s="17"/>
      <c r="L252" s="17"/>
      <c r="M252" s="17"/>
      <c r="N252" s="17"/>
      <c r="O252" s="17"/>
      <c r="P252" s="17"/>
    </row>
    <row r="699" spans="1:1" x14ac:dyDescent="0.25">
      <c r="A699" s="16">
        <v>700</v>
      </c>
    </row>
    <row r="799" spans="1:1" x14ac:dyDescent="0.25">
      <c r="A799" s="16">
        <v>800</v>
      </c>
    </row>
  </sheetData>
  <mergeCells count="240"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</mergeCells>
  <conditionalFormatting sqref="O6">
    <cfRule type="expression" dxfId="7" priority="13">
      <formula>$O$6=FALSE</formula>
    </cfRule>
    <cfRule type="expression" dxfId="6" priority="14">
      <formula>$O$6=TRUE</formula>
    </cfRule>
  </conditionalFormatting>
  <conditionalFormatting sqref="B8">
    <cfRule type="expression" dxfId="5" priority="11">
      <formula>Q8=1</formula>
    </cfRule>
  </conditionalFormatting>
  <conditionalFormatting sqref="B9:B245">
    <cfRule type="expression" dxfId="4" priority="9">
      <formula>Q9=1</formula>
    </cfRule>
  </conditionalFormatting>
  <conditionalFormatting sqref="S8">
    <cfRule type="expression" dxfId="3" priority="7">
      <formula>S8=FALSE</formula>
    </cfRule>
    <cfRule type="expression" dxfId="2" priority="8">
      <formula>S8=TRUE</formula>
    </cfRule>
  </conditionalFormatting>
  <conditionalFormatting sqref="S9:S245">
    <cfRule type="expression" dxfId="1" priority="1">
      <formula>S9=FALSE</formula>
    </cfRule>
    <cfRule type="expression" dxfId="0" priority="2">
      <formula>S9=TRUE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workbookViewId="0">
      <selection activeCell="B111" sqref="B111"/>
    </sheetView>
  </sheetViews>
  <sheetFormatPr defaultRowHeight="15" x14ac:dyDescent="0.25"/>
  <sheetData>
    <row r="1" spans="1:21" x14ac:dyDescent="0.25">
      <c r="A1">
        <v>0</v>
      </c>
      <c r="B1" t="str">
        <f>'Editing Page'!B8</f>
        <v>GM</v>
      </c>
      <c r="D1" t="s">
        <v>1519</v>
      </c>
      <c r="I1" t="s">
        <v>1520</v>
      </c>
      <c r="J1">
        <v>1</v>
      </c>
      <c r="K1" t="s">
        <v>1492</v>
      </c>
      <c r="L1" t="s">
        <v>1521</v>
      </c>
      <c r="M1">
        <v>1</v>
      </c>
      <c r="N1">
        <v>0</v>
      </c>
      <c r="O1">
        <v>0</v>
      </c>
      <c r="Q1" t="s">
        <v>1492</v>
      </c>
    </row>
    <row r="2" spans="1:21" x14ac:dyDescent="0.25">
      <c r="A2">
        <v>1</v>
      </c>
      <c r="B2" t="str">
        <f>'Editing Page'!B9</f>
        <v>AOO2017</v>
      </c>
      <c r="D2" t="s">
        <v>971</v>
      </c>
      <c r="I2" t="s">
        <v>1520</v>
      </c>
      <c r="J2">
        <v>1</v>
      </c>
      <c r="K2" t="s">
        <v>1522</v>
      </c>
      <c r="L2" t="s">
        <v>1521</v>
      </c>
      <c r="M2">
        <v>1</v>
      </c>
      <c r="N2">
        <v>0</v>
      </c>
      <c r="O2">
        <v>0</v>
      </c>
      <c r="Q2" t="s">
        <v>1522</v>
      </c>
    </row>
    <row r="3" spans="1:21" x14ac:dyDescent="0.25">
      <c r="A3">
        <v>2</v>
      </c>
      <c r="B3" t="str">
        <f>'Editing Page'!B10</f>
        <v>LX7343</v>
      </c>
      <c r="D3" t="s">
        <v>972</v>
      </c>
      <c r="I3" t="s">
        <v>1520</v>
      </c>
      <c r="J3">
        <v>1</v>
      </c>
      <c r="K3" t="s">
        <v>1523</v>
      </c>
      <c r="L3" t="s">
        <v>1521</v>
      </c>
      <c r="M3">
        <v>1</v>
      </c>
      <c r="N3">
        <v>0</v>
      </c>
      <c r="O3">
        <v>0</v>
      </c>
      <c r="Q3" t="s">
        <v>1523</v>
      </c>
    </row>
    <row r="4" spans="1:21" x14ac:dyDescent="0.25">
      <c r="A4">
        <v>3</v>
      </c>
      <c r="B4">
        <f>'Editing Page'!B11</f>
        <v>0</v>
      </c>
      <c r="D4" t="s">
        <v>1179</v>
      </c>
      <c r="I4" t="s">
        <v>1520</v>
      </c>
      <c r="J4">
        <v>1</v>
      </c>
      <c r="K4" t="s">
        <v>1524</v>
      </c>
      <c r="L4" t="s">
        <v>1525</v>
      </c>
      <c r="M4">
        <v>0</v>
      </c>
      <c r="N4">
        <v>1</v>
      </c>
      <c r="O4">
        <v>0</v>
      </c>
      <c r="S4" t="s">
        <v>1524</v>
      </c>
    </row>
    <row r="5" spans="1:21" x14ac:dyDescent="0.25">
      <c r="A5">
        <v>4</v>
      </c>
      <c r="B5" t="str">
        <f>'Editing Page'!B12</f>
        <v>MS4 350-4</v>
      </c>
      <c r="D5" t="s">
        <v>1180</v>
      </c>
      <c r="I5" t="s">
        <v>1520</v>
      </c>
      <c r="J5">
        <v>1</v>
      </c>
      <c r="K5" t="s">
        <v>1526</v>
      </c>
      <c r="L5" t="s">
        <v>1521</v>
      </c>
      <c r="M5">
        <v>1</v>
      </c>
      <c r="N5">
        <v>0</v>
      </c>
      <c r="O5">
        <v>0</v>
      </c>
      <c r="Q5" t="s">
        <v>1526</v>
      </c>
    </row>
    <row r="6" spans="1:21" x14ac:dyDescent="0.25">
      <c r="A6">
        <v>5</v>
      </c>
      <c r="B6">
        <f>'Editing Page'!B13</f>
        <v>185</v>
      </c>
      <c r="C6" t="s">
        <v>1476</v>
      </c>
      <c r="D6" t="s">
        <v>973</v>
      </c>
      <c r="I6" t="s">
        <v>1520</v>
      </c>
      <c r="J6">
        <v>1</v>
      </c>
      <c r="K6" t="s">
        <v>1527</v>
      </c>
      <c r="L6" t="s">
        <v>1528</v>
      </c>
      <c r="M6">
        <v>0</v>
      </c>
      <c r="N6">
        <v>0</v>
      </c>
      <c r="O6">
        <v>1</v>
      </c>
      <c r="U6" t="s">
        <v>1527</v>
      </c>
    </row>
    <row r="7" spans="1:21" x14ac:dyDescent="0.25">
      <c r="A7">
        <v>6</v>
      </c>
      <c r="B7">
        <f>'Editing Page'!B14</f>
        <v>4</v>
      </c>
      <c r="D7" t="s">
        <v>974</v>
      </c>
      <c r="I7" t="s">
        <v>1520</v>
      </c>
      <c r="J7">
        <v>1</v>
      </c>
      <c r="K7" t="s">
        <v>1529</v>
      </c>
      <c r="L7" t="s">
        <v>1525</v>
      </c>
      <c r="M7">
        <v>0</v>
      </c>
      <c r="N7">
        <v>1</v>
      </c>
      <c r="O7">
        <v>0</v>
      </c>
      <c r="S7" t="s">
        <v>1529</v>
      </c>
    </row>
    <row r="8" spans="1:21" x14ac:dyDescent="0.25">
      <c r="A8">
        <v>7</v>
      </c>
      <c r="B8">
        <f>'Editing Page'!B15</f>
        <v>6600</v>
      </c>
      <c r="C8" t="s">
        <v>1477</v>
      </c>
      <c r="D8" t="s">
        <v>975</v>
      </c>
      <c r="I8" t="s">
        <v>1520</v>
      </c>
      <c r="J8">
        <v>1</v>
      </c>
      <c r="K8" t="s">
        <v>1530</v>
      </c>
      <c r="L8" t="s">
        <v>1528</v>
      </c>
      <c r="M8">
        <v>0</v>
      </c>
      <c r="N8">
        <v>0</v>
      </c>
      <c r="O8">
        <v>1</v>
      </c>
      <c r="U8" t="s">
        <v>1530</v>
      </c>
    </row>
    <row r="9" spans="1:21" x14ac:dyDescent="0.25">
      <c r="A9">
        <v>8</v>
      </c>
      <c r="B9">
        <f>'Editing Page'!B16</f>
        <v>50</v>
      </c>
      <c r="C9" t="s">
        <v>1478</v>
      </c>
      <c r="D9" t="s">
        <v>976</v>
      </c>
      <c r="I9" t="s">
        <v>1520</v>
      </c>
      <c r="J9">
        <v>1</v>
      </c>
      <c r="K9" t="s">
        <v>1531</v>
      </c>
      <c r="L9" t="s">
        <v>1528</v>
      </c>
      <c r="M9">
        <v>0</v>
      </c>
      <c r="N9">
        <v>0</v>
      </c>
      <c r="O9">
        <v>1</v>
      </c>
      <c r="U9" t="s">
        <v>1531</v>
      </c>
    </row>
    <row r="10" spans="1:21" x14ac:dyDescent="0.25">
      <c r="A10">
        <v>9</v>
      </c>
      <c r="B10">
        <f>'Editing Page'!B17</f>
        <v>3</v>
      </c>
      <c r="D10" t="s">
        <v>977</v>
      </c>
      <c r="I10" t="s">
        <v>1520</v>
      </c>
      <c r="J10">
        <v>1</v>
      </c>
      <c r="K10" t="s">
        <v>1532</v>
      </c>
      <c r="L10" t="s">
        <v>1525</v>
      </c>
      <c r="M10">
        <v>0</v>
      </c>
      <c r="N10">
        <v>1</v>
      </c>
      <c r="O10">
        <v>0</v>
      </c>
      <c r="S10" t="s">
        <v>1532</v>
      </c>
    </row>
    <row r="11" spans="1:21" x14ac:dyDescent="0.25">
      <c r="A11">
        <v>10</v>
      </c>
      <c r="B11">
        <f>'Editing Page'!B18</f>
        <v>0</v>
      </c>
      <c r="D11" t="s">
        <v>1181</v>
      </c>
      <c r="I11" t="s">
        <v>1520</v>
      </c>
      <c r="J11">
        <v>1</v>
      </c>
      <c r="K11" t="s">
        <v>1533</v>
      </c>
      <c r="L11" t="s">
        <v>1525</v>
      </c>
      <c r="M11">
        <v>0</v>
      </c>
      <c r="N11">
        <v>1</v>
      </c>
      <c r="O11">
        <v>0</v>
      </c>
      <c r="S11" t="s">
        <v>1533</v>
      </c>
    </row>
    <row r="12" spans="1:21" x14ac:dyDescent="0.25">
      <c r="A12">
        <v>11</v>
      </c>
      <c r="B12" t="str">
        <f>'Editing Page'!B19</f>
        <v>F</v>
      </c>
      <c r="D12" t="s">
        <v>978</v>
      </c>
      <c r="I12" t="s">
        <v>1520</v>
      </c>
      <c r="J12">
        <v>1</v>
      </c>
      <c r="K12" t="s">
        <v>1534</v>
      </c>
      <c r="L12" t="s">
        <v>1521</v>
      </c>
      <c r="M12">
        <v>1</v>
      </c>
      <c r="N12">
        <v>0</v>
      </c>
      <c r="O12">
        <v>0</v>
      </c>
      <c r="Q12" t="s">
        <v>1534</v>
      </c>
    </row>
    <row r="13" spans="1:21" x14ac:dyDescent="0.25">
      <c r="A13">
        <v>12</v>
      </c>
      <c r="B13">
        <f>'Editing Page'!B20</f>
        <v>550</v>
      </c>
      <c r="C13" t="s">
        <v>1479</v>
      </c>
      <c r="D13" t="s">
        <v>979</v>
      </c>
      <c r="I13" t="s">
        <v>1520</v>
      </c>
      <c r="J13">
        <v>1</v>
      </c>
      <c r="K13" t="s">
        <v>1535</v>
      </c>
      <c r="L13" t="s">
        <v>1528</v>
      </c>
      <c r="M13">
        <v>0</v>
      </c>
      <c r="N13">
        <v>0</v>
      </c>
      <c r="O13">
        <v>1</v>
      </c>
      <c r="U13" t="s">
        <v>1535</v>
      </c>
    </row>
    <row r="14" spans="1:21" x14ac:dyDescent="0.25">
      <c r="A14">
        <v>13</v>
      </c>
      <c r="B14">
        <f>'Editing Page'!B21</f>
        <v>330</v>
      </c>
      <c r="C14" t="s">
        <v>1479</v>
      </c>
      <c r="D14" t="s">
        <v>980</v>
      </c>
      <c r="I14" t="s">
        <v>1520</v>
      </c>
      <c r="J14">
        <v>1</v>
      </c>
      <c r="K14" t="s">
        <v>1536</v>
      </c>
      <c r="L14" t="s">
        <v>1528</v>
      </c>
      <c r="M14">
        <v>0</v>
      </c>
      <c r="N14">
        <v>0</v>
      </c>
      <c r="O14">
        <v>1</v>
      </c>
      <c r="U14" t="s">
        <v>1536</v>
      </c>
    </row>
    <row r="15" spans="1:21" x14ac:dyDescent="0.25">
      <c r="A15">
        <v>14</v>
      </c>
      <c r="B15">
        <f>'Editing Page'!B22</f>
        <v>350</v>
      </c>
      <c r="C15" t="s">
        <v>1479</v>
      </c>
      <c r="D15" t="s">
        <v>981</v>
      </c>
      <c r="I15" t="s">
        <v>1520</v>
      </c>
      <c r="J15">
        <v>1</v>
      </c>
      <c r="K15" t="s">
        <v>1537</v>
      </c>
      <c r="L15" t="s">
        <v>1528</v>
      </c>
      <c r="M15">
        <v>0</v>
      </c>
      <c r="N15">
        <v>0</v>
      </c>
      <c r="O15">
        <v>1</v>
      </c>
      <c r="U15" t="s">
        <v>1537</v>
      </c>
    </row>
    <row r="16" spans="1:21" x14ac:dyDescent="0.25">
      <c r="A16">
        <v>15</v>
      </c>
      <c r="B16">
        <f>'Editing Page'!B23</f>
        <v>0</v>
      </c>
      <c r="D16" t="s">
        <v>982</v>
      </c>
      <c r="I16" t="s">
        <v>1520</v>
      </c>
      <c r="J16">
        <v>1</v>
      </c>
      <c r="K16" t="s">
        <v>1538</v>
      </c>
      <c r="L16" t="s">
        <v>1525</v>
      </c>
      <c r="M16">
        <v>0</v>
      </c>
      <c r="N16">
        <v>1</v>
      </c>
      <c r="O16">
        <v>0</v>
      </c>
      <c r="S16" t="s">
        <v>1538</v>
      </c>
    </row>
    <row r="17" spans="1:21" x14ac:dyDescent="0.25">
      <c r="A17">
        <v>16</v>
      </c>
      <c r="B17">
        <f>'Editing Page'!B24</f>
        <v>0</v>
      </c>
      <c r="C17" t="s">
        <v>1479</v>
      </c>
      <c r="D17" t="s">
        <v>983</v>
      </c>
      <c r="I17" t="s">
        <v>1520</v>
      </c>
      <c r="J17">
        <v>1</v>
      </c>
      <c r="K17" t="s">
        <v>1539</v>
      </c>
      <c r="L17" t="s">
        <v>1525</v>
      </c>
      <c r="M17">
        <v>0</v>
      </c>
      <c r="N17">
        <v>1</v>
      </c>
      <c r="O17">
        <v>0</v>
      </c>
      <c r="S17" t="s">
        <v>1539</v>
      </c>
    </row>
    <row r="18" spans="1:21" x14ac:dyDescent="0.25">
      <c r="A18">
        <v>17</v>
      </c>
      <c r="B18">
        <f>'Editing Page'!B25</f>
        <v>0.95</v>
      </c>
      <c r="D18" t="s">
        <v>984</v>
      </c>
      <c r="I18" t="s">
        <v>1520</v>
      </c>
      <c r="J18">
        <v>1</v>
      </c>
      <c r="K18" t="s">
        <v>1540</v>
      </c>
      <c r="L18" t="s">
        <v>1528</v>
      </c>
      <c r="M18">
        <v>0</v>
      </c>
      <c r="N18">
        <v>0</v>
      </c>
      <c r="O18">
        <v>1</v>
      </c>
      <c r="U18" t="s">
        <v>1540</v>
      </c>
    </row>
    <row r="19" spans="1:21" x14ac:dyDescent="0.25">
      <c r="A19">
        <v>18</v>
      </c>
      <c r="B19" t="str">
        <f>'Editing Page'!B26</f>
        <v>S</v>
      </c>
      <c r="D19" t="s">
        <v>1182</v>
      </c>
      <c r="I19" t="s">
        <v>1520</v>
      </c>
      <c r="J19">
        <v>1</v>
      </c>
      <c r="K19" t="s">
        <v>1541</v>
      </c>
      <c r="L19" t="s">
        <v>1521</v>
      </c>
      <c r="M19">
        <v>1</v>
      </c>
      <c r="N19">
        <v>0</v>
      </c>
      <c r="O19">
        <v>0</v>
      </c>
      <c r="Q19" t="s">
        <v>1541</v>
      </c>
    </row>
    <row r="20" spans="1:21" x14ac:dyDescent="0.25">
      <c r="A20">
        <v>19</v>
      </c>
      <c r="B20">
        <f>'Editing Page'!B27</f>
        <v>1</v>
      </c>
      <c r="D20" t="s">
        <v>986</v>
      </c>
      <c r="I20" t="s">
        <v>1520</v>
      </c>
      <c r="J20">
        <v>1</v>
      </c>
      <c r="K20" t="s">
        <v>1542</v>
      </c>
      <c r="L20" t="s">
        <v>1525</v>
      </c>
      <c r="M20">
        <v>0</v>
      </c>
      <c r="N20">
        <v>1</v>
      </c>
      <c r="O20">
        <v>0</v>
      </c>
      <c r="S20" t="s">
        <v>1542</v>
      </c>
    </row>
    <row r="21" spans="1:21" x14ac:dyDescent="0.25">
      <c r="A21">
        <v>20</v>
      </c>
      <c r="B21" t="str">
        <f>'Editing Page'!B28</f>
        <v>l</v>
      </c>
      <c r="D21" t="s">
        <v>988</v>
      </c>
      <c r="I21" t="s">
        <v>1520</v>
      </c>
      <c r="J21">
        <v>1</v>
      </c>
      <c r="K21" t="s">
        <v>1543</v>
      </c>
      <c r="L21" t="s">
        <v>1521</v>
      </c>
      <c r="M21">
        <v>1</v>
      </c>
      <c r="N21">
        <v>0</v>
      </c>
      <c r="O21">
        <v>0</v>
      </c>
      <c r="Q21" t="s">
        <v>1543</v>
      </c>
    </row>
    <row r="22" spans="1:21" x14ac:dyDescent="0.25">
      <c r="A22">
        <v>21</v>
      </c>
      <c r="B22">
        <f>'Editing Page'!B29</f>
        <v>0</v>
      </c>
      <c r="C22" t="s">
        <v>1479</v>
      </c>
      <c r="D22" t="s">
        <v>989</v>
      </c>
      <c r="I22" t="s">
        <v>1520</v>
      </c>
      <c r="J22">
        <v>1</v>
      </c>
      <c r="K22" t="s">
        <v>1544</v>
      </c>
      <c r="L22" t="s">
        <v>1528</v>
      </c>
      <c r="M22">
        <v>0</v>
      </c>
      <c r="N22">
        <v>0</v>
      </c>
      <c r="O22">
        <v>1</v>
      </c>
      <c r="U22" t="s">
        <v>1544</v>
      </c>
    </row>
    <row r="23" spans="1:21" x14ac:dyDescent="0.25">
      <c r="A23">
        <v>22</v>
      </c>
      <c r="B23">
        <f>'Editing Page'!B30</f>
        <v>1</v>
      </c>
      <c r="D23" t="s">
        <v>1183</v>
      </c>
      <c r="I23" t="s">
        <v>1520</v>
      </c>
      <c r="J23">
        <v>1</v>
      </c>
      <c r="K23" t="s">
        <v>1545</v>
      </c>
      <c r="L23" t="s">
        <v>1528</v>
      </c>
      <c r="M23">
        <v>0</v>
      </c>
      <c r="N23">
        <v>0</v>
      </c>
      <c r="O23">
        <v>1</v>
      </c>
      <c r="U23" t="s">
        <v>1545</v>
      </c>
    </row>
    <row r="24" spans="1:21" x14ac:dyDescent="0.25">
      <c r="A24">
        <v>23</v>
      </c>
      <c r="B24">
        <f>'Editing Page'!B31</f>
        <v>7</v>
      </c>
      <c r="C24" t="s">
        <v>1479</v>
      </c>
      <c r="D24" t="s">
        <v>990</v>
      </c>
      <c r="I24" t="s">
        <v>1520</v>
      </c>
      <c r="J24">
        <v>1</v>
      </c>
      <c r="K24" t="s">
        <v>1546</v>
      </c>
      <c r="L24" t="s">
        <v>1528</v>
      </c>
      <c r="M24">
        <v>0</v>
      </c>
      <c r="N24">
        <v>0</v>
      </c>
      <c r="O24">
        <v>1</v>
      </c>
      <c r="U24" t="s">
        <v>1546</v>
      </c>
    </row>
    <row r="25" spans="1:21" x14ac:dyDescent="0.25">
      <c r="A25">
        <v>24</v>
      </c>
      <c r="B25">
        <f>'Editing Page'!B32</f>
        <v>20</v>
      </c>
      <c r="C25" t="s">
        <v>1479</v>
      </c>
      <c r="D25" t="s">
        <v>991</v>
      </c>
      <c r="I25" t="s">
        <v>1520</v>
      </c>
      <c r="J25">
        <v>1</v>
      </c>
      <c r="K25" t="s">
        <v>1547</v>
      </c>
      <c r="L25" t="s">
        <v>1528</v>
      </c>
      <c r="M25">
        <v>0</v>
      </c>
      <c r="N25">
        <v>0</v>
      </c>
      <c r="O25">
        <v>1</v>
      </c>
      <c r="U25" t="s">
        <v>1547</v>
      </c>
    </row>
    <row r="26" spans="1:21" x14ac:dyDescent="0.25">
      <c r="A26">
        <v>25</v>
      </c>
      <c r="B26">
        <f>'Editing Page'!B33</f>
        <v>48</v>
      </c>
      <c r="D26" t="s">
        <v>992</v>
      </c>
      <c r="I26" t="s">
        <v>1520</v>
      </c>
      <c r="J26">
        <v>1</v>
      </c>
      <c r="K26" t="s">
        <v>1548</v>
      </c>
      <c r="L26" t="s">
        <v>1525</v>
      </c>
      <c r="M26">
        <v>0</v>
      </c>
      <c r="N26">
        <v>1</v>
      </c>
      <c r="O26">
        <v>0</v>
      </c>
      <c r="S26" t="s">
        <v>1548</v>
      </c>
    </row>
    <row r="27" spans="1:21" x14ac:dyDescent="0.25">
      <c r="A27">
        <v>26</v>
      </c>
      <c r="B27">
        <f>'Editing Page'!B34</f>
        <v>11</v>
      </c>
      <c r="D27" t="s">
        <v>993</v>
      </c>
      <c r="I27" t="s">
        <v>1520</v>
      </c>
      <c r="J27">
        <v>1</v>
      </c>
      <c r="K27" t="s">
        <v>1549</v>
      </c>
      <c r="L27" t="s">
        <v>1528</v>
      </c>
      <c r="M27">
        <v>0</v>
      </c>
      <c r="N27">
        <v>0</v>
      </c>
      <c r="O27">
        <v>1</v>
      </c>
      <c r="U27" t="s">
        <v>1549</v>
      </c>
    </row>
    <row r="28" spans="1:21" x14ac:dyDescent="0.25">
      <c r="A28">
        <v>27</v>
      </c>
      <c r="B28">
        <f>'Editing Page'!B35</f>
        <v>2</v>
      </c>
      <c r="D28" t="s">
        <v>994</v>
      </c>
      <c r="I28" t="s">
        <v>1520</v>
      </c>
      <c r="J28">
        <v>1</v>
      </c>
      <c r="K28" t="s">
        <v>1550</v>
      </c>
      <c r="L28" t="s">
        <v>1525</v>
      </c>
      <c r="M28">
        <v>0</v>
      </c>
      <c r="N28">
        <v>1</v>
      </c>
      <c r="O28">
        <v>0</v>
      </c>
      <c r="S28" t="s">
        <v>1550</v>
      </c>
    </row>
    <row r="29" spans="1:21" x14ac:dyDescent="0.25">
      <c r="A29">
        <v>28</v>
      </c>
      <c r="B29">
        <f>'Editing Page'!B36</f>
        <v>24</v>
      </c>
      <c r="D29" t="s">
        <v>995</v>
      </c>
      <c r="I29" t="s">
        <v>1520</v>
      </c>
      <c r="J29">
        <v>1</v>
      </c>
      <c r="K29" t="s">
        <v>1551</v>
      </c>
      <c r="L29" t="s">
        <v>1525</v>
      </c>
      <c r="M29">
        <v>0</v>
      </c>
      <c r="N29">
        <v>1</v>
      </c>
      <c r="O29">
        <v>0</v>
      </c>
      <c r="S29" t="s">
        <v>1551</v>
      </c>
    </row>
    <row r="30" spans="1:21" x14ac:dyDescent="0.25">
      <c r="A30">
        <v>29</v>
      </c>
      <c r="B30">
        <f>'Editing Page'!B37</f>
        <v>12</v>
      </c>
      <c r="C30" t="s">
        <v>1479</v>
      </c>
      <c r="D30" t="s">
        <v>996</v>
      </c>
      <c r="I30" t="s">
        <v>1520</v>
      </c>
      <c r="J30">
        <v>1</v>
      </c>
      <c r="K30" t="s">
        <v>1552</v>
      </c>
      <c r="L30" t="s">
        <v>1528</v>
      </c>
      <c r="M30">
        <v>0</v>
      </c>
      <c r="N30">
        <v>0</v>
      </c>
      <c r="O30">
        <v>1</v>
      </c>
      <c r="U30" t="s">
        <v>1552</v>
      </c>
    </row>
    <row r="31" spans="1:21" x14ac:dyDescent="0.25">
      <c r="A31">
        <v>30</v>
      </c>
      <c r="B31">
        <f>'Editing Page'!B38</f>
        <v>12</v>
      </c>
      <c r="C31" t="s">
        <v>1479</v>
      </c>
      <c r="D31" t="s">
        <v>997</v>
      </c>
      <c r="I31" t="s">
        <v>1520</v>
      </c>
      <c r="J31">
        <v>1</v>
      </c>
      <c r="K31" t="s">
        <v>1553</v>
      </c>
      <c r="L31" t="s">
        <v>1528</v>
      </c>
      <c r="M31">
        <v>0</v>
      </c>
      <c r="N31">
        <v>0</v>
      </c>
      <c r="O31">
        <v>1</v>
      </c>
      <c r="U31" t="s">
        <v>1553</v>
      </c>
    </row>
    <row r="32" spans="1:21" x14ac:dyDescent="0.25">
      <c r="A32">
        <v>31</v>
      </c>
      <c r="B32">
        <f>'Editing Page'!B39</f>
        <v>59</v>
      </c>
      <c r="C32" t="s">
        <v>1479</v>
      </c>
      <c r="D32" t="s">
        <v>998</v>
      </c>
      <c r="I32" t="s">
        <v>1520</v>
      </c>
      <c r="J32">
        <v>1</v>
      </c>
      <c r="K32" t="s">
        <v>1554</v>
      </c>
      <c r="L32" t="s">
        <v>1528</v>
      </c>
      <c r="M32">
        <v>0</v>
      </c>
      <c r="N32">
        <v>0</v>
      </c>
      <c r="O32">
        <v>1</v>
      </c>
      <c r="U32" t="s">
        <v>1554</v>
      </c>
    </row>
    <row r="33" spans="1:21" x14ac:dyDescent="0.25">
      <c r="A33">
        <v>32</v>
      </c>
      <c r="B33">
        <f>'Editing Page'!B40</f>
        <v>0.5</v>
      </c>
      <c r="C33" t="s">
        <v>1479</v>
      </c>
      <c r="D33" t="s">
        <v>999</v>
      </c>
      <c r="I33" t="s">
        <v>1520</v>
      </c>
      <c r="J33">
        <v>1</v>
      </c>
      <c r="K33" t="s">
        <v>1555</v>
      </c>
      <c r="L33" t="s">
        <v>1528</v>
      </c>
      <c r="M33">
        <v>0</v>
      </c>
      <c r="N33">
        <v>0</v>
      </c>
      <c r="O33">
        <v>1</v>
      </c>
      <c r="U33" t="s">
        <v>1555</v>
      </c>
    </row>
    <row r="34" spans="1:21" x14ac:dyDescent="0.25">
      <c r="A34">
        <v>33</v>
      </c>
      <c r="B34">
        <f>'Editing Page'!B41</f>
        <v>3.5</v>
      </c>
      <c r="C34" t="s">
        <v>1479</v>
      </c>
      <c r="D34" t="s">
        <v>1000</v>
      </c>
      <c r="I34" t="s">
        <v>1520</v>
      </c>
      <c r="J34">
        <v>1</v>
      </c>
      <c r="K34" t="s">
        <v>1556</v>
      </c>
      <c r="L34" t="s">
        <v>1528</v>
      </c>
      <c r="M34">
        <v>0</v>
      </c>
      <c r="N34">
        <v>0</v>
      </c>
      <c r="O34">
        <v>1</v>
      </c>
      <c r="U34" t="s">
        <v>1556</v>
      </c>
    </row>
    <row r="35" spans="1:21" x14ac:dyDescent="0.25">
      <c r="A35">
        <v>34</v>
      </c>
      <c r="B35">
        <f>'Editing Page'!B42</f>
        <v>1</v>
      </c>
      <c r="D35" t="s">
        <v>1184</v>
      </c>
      <c r="I35" t="s">
        <v>1520</v>
      </c>
      <c r="J35">
        <v>1</v>
      </c>
      <c r="K35" t="s">
        <v>1557</v>
      </c>
      <c r="L35" t="s">
        <v>1525</v>
      </c>
      <c r="M35">
        <v>0</v>
      </c>
      <c r="N35">
        <v>1</v>
      </c>
      <c r="O35">
        <v>0</v>
      </c>
      <c r="S35" t="s">
        <v>1557</v>
      </c>
    </row>
    <row r="36" spans="1:21" x14ac:dyDescent="0.25">
      <c r="A36">
        <v>35</v>
      </c>
      <c r="B36">
        <f>'Editing Page'!B43</f>
        <v>3</v>
      </c>
      <c r="D36" t="s">
        <v>1185</v>
      </c>
      <c r="I36" t="s">
        <v>1520</v>
      </c>
      <c r="J36">
        <v>1</v>
      </c>
      <c r="K36" t="s">
        <v>1558</v>
      </c>
      <c r="L36" t="s">
        <v>1525</v>
      </c>
      <c r="M36">
        <v>0</v>
      </c>
      <c r="N36">
        <v>1</v>
      </c>
      <c r="O36">
        <v>0</v>
      </c>
      <c r="S36" t="s">
        <v>1558</v>
      </c>
    </row>
    <row r="37" spans="1:21" x14ac:dyDescent="0.25">
      <c r="A37">
        <v>36</v>
      </c>
      <c r="B37">
        <f>'Editing Page'!B44</f>
        <v>3.5</v>
      </c>
      <c r="C37" t="s">
        <v>1479</v>
      </c>
      <c r="D37" t="s">
        <v>1186</v>
      </c>
      <c r="I37" t="s">
        <v>1520</v>
      </c>
      <c r="J37">
        <v>1</v>
      </c>
      <c r="K37" t="s">
        <v>1559</v>
      </c>
      <c r="L37" t="s">
        <v>1528</v>
      </c>
      <c r="M37">
        <v>0</v>
      </c>
      <c r="N37">
        <v>0</v>
      </c>
      <c r="O37">
        <v>1</v>
      </c>
      <c r="U37" t="s">
        <v>1559</v>
      </c>
    </row>
    <row r="38" spans="1:21" x14ac:dyDescent="0.25">
      <c r="A38">
        <v>37</v>
      </c>
      <c r="B38">
        <f>'Editing Page'!B45</f>
        <v>1.5449999999999999</v>
      </c>
      <c r="C38" t="s">
        <v>1479</v>
      </c>
      <c r="D38" t="s">
        <v>1001</v>
      </c>
      <c r="I38" t="s">
        <v>1520</v>
      </c>
      <c r="J38">
        <v>1</v>
      </c>
      <c r="K38" t="s">
        <v>1560</v>
      </c>
      <c r="L38" t="s">
        <v>1528</v>
      </c>
      <c r="M38">
        <v>0</v>
      </c>
      <c r="N38">
        <v>0</v>
      </c>
      <c r="O38">
        <v>1</v>
      </c>
      <c r="U38" t="s">
        <v>1560</v>
      </c>
    </row>
    <row r="39" spans="1:21" x14ac:dyDescent="0.25">
      <c r="A39">
        <v>38</v>
      </c>
      <c r="B39">
        <f>'Editing Page'!B46</f>
        <v>-1</v>
      </c>
      <c r="C39" t="s">
        <v>1479</v>
      </c>
      <c r="D39" t="s">
        <v>1561</v>
      </c>
    </row>
    <row r="40" spans="1:21" x14ac:dyDescent="0.25">
      <c r="A40">
        <v>39</v>
      </c>
      <c r="B40">
        <f>'Editing Page'!B47</f>
        <v>1</v>
      </c>
      <c r="D40" t="s">
        <v>1002</v>
      </c>
      <c r="I40" t="s">
        <v>1520</v>
      </c>
      <c r="J40">
        <v>1</v>
      </c>
      <c r="K40" t="s">
        <v>1562</v>
      </c>
      <c r="L40" t="s">
        <v>1525</v>
      </c>
      <c r="M40">
        <v>0</v>
      </c>
      <c r="N40">
        <v>1</v>
      </c>
      <c r="O40">
        <v>0</v>
      </c>
      <c r="S40" t="s">
        <v>1562</v>
      </c>
    </row>
    <row r="41" spans="1:21" x14ac:dyDescent="0.25">
      <c r="A41">
        <v>40</v>
      </c>
      <c r="B41">
        <f>'Editing Page'!B48</f>
        <v>1</v>
      </c>
      <c r="D41" t="s">
        <v>1003</v>
      </c>
      <c r="I41" t="s">
        <v>1520</v>
      </c>
      <c r="J41">
        <v>1</v>
      </c>
      <c r="K41" t="s">
        <v>1563</v>
      </c>
      <c r="L41" t="s">
        <v>1525</v>
      </c>
      <c r="M41">
        <v>0</v>
      </c>
      <c r="N41">
        <v>1</v>
      </c>
      <c r="O41">
        <v>0</v>
      </c>
      <c r="S41" t="s">
        <v>1563</v>
      </c>
    </row>
    <row r="42" spans="1:21" x14ac:dyDescent="0.25">
      <c r="A42">
        <v>41</v>
      </c>
      <c r="B42">
        <f>'Editing Page'!B49</f>
        <v>0</v>
      </c>
      <c r="D42" t="s">
        <v>1188</v>
      </c>
      <c r="I42" t="s">
        <v>1520</v>
      </c>
      <c r="J42">
        <v>1</v>
      </c>
      <c r="K42" t="s">
        <v>1564</v>
      </c>
      <c r="L42" t="s">
        <v>1525</v>
      </c>
      <c r="M42">
        <v>0</v>
      </c>
      <c r="N42">
        <v>1</v>
      </c>
      <c r="O42">
        <v>0</v>
      </c>
      <c r="S42" t="s">
        <v>1564</v>
      </c>
    </row>
    <row r="43" spans="1:21" x14ac:dyDescent="0.25">
      <c r="A43">
        <v>42</v>
      </c>
      <c r="B43">
        <f>'Editing Page'!B50</f>
        <v>-1</v>
      </c>
      <c r="C43" t="s">
        <v>1479</v>
      </c>
      <c r="D43" t="s">
        <v>1004</v>
      </c>
      <c r="I43" t="s">
        <v>1520</v>
      </c>
      <c r="J43">
        <v>1</v>
      </c>
      <c r="K43" t="s">
        <v>1565</v>
      </c>
      <c r="L43" t="s">
        <v>1528</v>
      </c>
      <c r="M43">
        <v>0</v>
      </c>
      <c r="N43">
        <v>0</v>
      </c>
      <c r="O43">
        <v>1</v>
      </c>
      <c r="U43" t="s">
        <v>1565</v>
      </c>
    </row>
    <row r="44" spans="1:21" x14ac:dyDescent="0.25">
      <c r="A44">
        <v>43</v>
      </c>
      <c r="B44">
        <f>'Editing Page'!B51</f>
        <v>-1</v>
      </c>
      <c r="C44" t="s">
        <v>1479</v>
      </c>
      <c r="D44" t="s">
        <v>1005</v>
      </c>
      <c r="I44" t="s">
        <v>1520</v>
      </c>
      <c r="J44">
        <v>1</v>
      </c>
      <c r="K44" t="s">
        <v>1566</v>
      </c>
      <c r="L44" t="s">
        <v>1528</v>
      </c>
      <c r="M44">
        <v>0</v>
      </c>
      <c r="N44">
        <v>0</v>
      </c>
      <c r="O44">
        <v>1</v>
      </c>
      <c r="U44" t="s">
        <v>1566</v>
      </c>
    </row>
    <row r="45" spans="1:21" x14ac:dyDescent="0.25">
      <c r="A45">
        <v>44</v>
      </c>
      <c r="B45" t="str">
        <f>'Editing Page'!B52</f>
        <v>IS321F6C4</v>
      </c>
      <c r="D45" t="s">
        <v>1006</v>
      </c>
      <c r="I45" t="s">
        <v>1520</v>
      </c>
      <c r="J45">
        <v>1</v>
      </c>
      <c r="K45" t="s">
        <v>1493</v>
      </c>
      <c r="L45" t="s">
        <v>1521</v>
      </c>
      <c r="M45">
        <v>1</v>
      </c>
      <c r="N45">
        <v>0</v>
      </c>
      <c r="O45">
        <v>0</v>
      </c>
      <c r="Q45" t="s">
        <v>1493</v>
      </c>
    </row>
    <row r="46" spans="1:21" x14ac:dyDescent="0.25">
      <c r="A46">
        <v>45</v>
      </c>
      <c r="B46" t="str">
        <f>'Editing Page'!B53</f>
        <v>BPS0075</v>
      </c>
      <c r="D46" t="s">
        <v>1007</v>
      </c>
      <c r="I46" t="s">
        <v>1520</v>
      </c>
      <c r="J46">
        <v>1</v>
      </c>
      <c r="K46" t="s">
        <v>1567</v>
      </c>
      <c r="L46" t="s">
        <v>1521</v>
      </c>
      <c r="M46">
        <v>1</v>
      </c>
      <c r="N46">
        <v>0</v>
      </c>
      <c r="O46">
        <v>0</v>
      </c>
      <c r="Q46" t="s">
        <v>1567</v>
      </c>
    </row>
    <row r="47" spans="1:21" x14ac:dyDescent="0.25">
      <c r="A47">
        <v>46</v>
      </c>
      <c r="B47">
        <f>'Editing Page'!B54</f>
        <v>-1</v>
      </c>
      <c r="C47" t="s">
        <v>1479</v>
      </c>
      <c r="D47" t="s">
        <v>1008</v>
      </c>
      <c r="I47" t="s">
        <v>1520</v>
      </c>
      <c r="J47">
        <v>1</v>
      </c>
      <c r="K47" t="s">
        <v>1494</v>
      </c>
      <c r="L47" t="s">
        <v>1528</v>
      </c>
      <c r="M47">
        <v>0</v>
      </c>
      <c r="N47">
        <v>0</v>
      </c>
      <c r="O47">
        <v>1</v>
      </c>
      <c r="U47" t="s">
        <v>1494</v>
      </c>
    </row>
    <row r="48" spans="1:21" x14ac:dyDescent="0.25">
      <c r="A48">
        <v>47</v>
      </c>
      <c r="B48">
        <f>'Editing Page'!B55</f>
        <v>-1</v>
      </c>
      <c r="C48" t="s">
        <v>1479</v>
      </c>
      <c r="D48" t="s">
        <v>1189</v>
      </c>
      <c r="I48" t="s">
        <v>1520</v>
      </c>
      <c r="J48">
        <v>1</v>
      </c>
      <c r="K48" t="s">
        <v>1495</v>
      </c>
      <c r="L48" t="s">
        <v>1528</v>
      </c>
      <c r="M48">
        <v>0</v>
      </c>
      <c r="N48">
        <v>0</v>
      </c>
      <c r="O48">
        <v>1</v>
      </c>
      <c r="U48" t="s">
        <v>1495</v>
      </c>
    </row>
    <row r="49" spans="1:21" x14ac:dyDescent="0.25">
      <c r="A49">
        <v>48</v>
      </c>
      <c r="B49">
        <f>'Editing Page'!B56</f>
        <v>-1</v>
      </c>
      <c r="C49" t="s">
        <v>1479</v>
      </c>
      <c r="D49" t="s">
        <v>1190</v>
      </c>
      <c r="I49" t="s">
        <v>1520</v>
      </c>
      <c r="J49">
        <v>1</v>
      </c>
      <c r="K49" t="s">
        <v>1496</v>
      </c>
      <c r="L49" t="s">
        <v>1528</v>
      </c>
      <c r="M49">
        <v>0</v>
      </c>
      <c r="N49">
        <v>0</v>
      </c>
      <c r="O49">
        <v>1</v>
      </c>
      <c r="U49" t="s">
        <v>1496</v>
      </c>
    </row>
    <row r="50" spans="1:21" x14ac:dyDescent="0.25">
      <c r="A50">
        <v>49</v>
      </c>
      <c r="B50">
        <f>'Editing Page'!B57</f>
        <v>-1</v>
      </c>
      <c r="C50" t="s">
        <v>1479</v>
      </c>
      <c r="D50" t="s">
        <v>1191</v>
      </c>
      <c r="I50" t="s">
        <v>1520</v>
      </c>
      <c r="J50">
        <v>1</v>
      </c>
      <c r="K50" t="s">
        <v>1497</v>
      </c>
      <c r="L50" t="s">
        <v>1528</v>
      </c>
      <c r="M50">
        <v>0</v>
      </c>
      <c r="N50">
        <v>0</v>
      </c>
      <c r="O50">
        <v>1</v>
      </c>
      <c r="U50" t="s">
        <v>1497</v>
      </c>
    </row>
    <row r="51" spans="1:21" x14ac:dyDescent="0.25">
      <c r="A51">
        <v>50</v>
      </c>
      <c r="B51">
        <f>'Editing Page'!B58</f>
        <v>2</v>
      </c>
      <c r="D51" t="s">
        <v>1009</v>
      </c>
      <c r="I51" t="s">
        <v>1520</v>
      </c>
      <c r="J51">
        <v>1</v>
      </c>
      <c r="K51" t="s">
        <v>1498</v>
      </c>
      <c r="L51" t="s">
        <v>1525</v>
      </c>
      <c r="M51">
        <v>0</v>
      </c>
      <c r="N51">
        <v>1</v>
      </c>
      <c r="O51">
        <v>0</v>
      </c>
      <c r="S51" t="s">
        <v>1498</v>
      </c>
    </row>
    <row r="52" spans="1:21" x14ac:dyDescent="0.25">
      <c r="A52">
        <v>51</v>
      </c>
      <c r="B52">
        <f>'Editing Page'!B59</f>
        <v>3</v>
      </c>
      <c r="D52" t="s">
        <v>1010</v>
      </c>
      <c r="I52" t="s">
        <v>1520</v>
      </c>
      <c r="J52">
        <v>1</v>
      </c>
      <c r="K52" t="s">
        <v>1499</v>
      </c>
      <c r="L52" t="s">
        <v>1525</v>
      </c>
      <c r="M52">
        <v>0</v>
      </c>
      <c r="N52">
        <v>1</v>
      </c>
      <c r="O52">
        <v>0</v>
      </c>
      <c r="S52" t="s">
        <v>1499</v>
      </c>
    </row>
    <row r="53" spans="1:21" x14ac:dyDescent="0.25">
      <c r="A53">
        <v>52</v>
      </c>
      <c r="B53">
        <f>'Editing Page'!B60</f>
        <v>-1</v>
      </c>
      <c r="C53" t="s">
        <v>1479</v>
      </c>
      <c r="D53" t="s">
        <v>1011</v>
      </c>
      <c r="I53" t="s">
        <v>1520</v>
      </c>
      <c r="J53">
        <v>1</v>
      </c>
      <c r="K53" t="s">
        <v>1467</v>
      </c>
      <c r="L53" t="s">
        <v>1528</v>
      </c>
      <c r="M53">
        <v>0</v>
      </c>
      <c r="N53">
        <v>0</v>
      </c>
      <c r="O53">
        <v>1</v>
      </c>
      <c r="U53" t="s">
        <v>1467</v>
      </c>
    </row>
    <row r="54" spans="1:21" x14ac:dyDescent="0.25">
      <c r="A54">
        <v>53</v>
      </c>
      <c r="B54">
        <f>'Editing Page'!B61</f>
        <v>-1</v>
      </c>
      <c r="C54" t="s">
        <v>1479</v>
      </c>
      <c r="D54" t="s">
        <v>1568</v>
      </c>
    </row>
    <row r="55" spans="1:21" x14ac:dyDescent="0.25">
      <c r="A55">
        <v>54</v>
      </c>
      <c r="B55">
        <f>'Editing Page'!B62</f>
        <v>-1</v>
      </c>
      <c r="C55" t="s">
        <v>1479</v>
      </c>
      <c r="D55" t="s">
        <v>1012</v>
      </c>
      <c r="I55" t="s">
        <v>1520</v>
      </c>
      <c r="J55">
        <v>1</v>
      </c>
      <c r="K55" t="s">
        <v>1468</v>
      </c>
      <c r="L55" t="s">
        <v>1528</v>
      </c>
      <c r="M55">
        <v>0</v>
      </c>
      <c r="N55">
        <v>0</v>
      </c>
      <c r="O55">
        <v>1</v>
      </c>
      <c r="U55" t="s">
        <v>1468</v>
      </c>
    </row>
    <row r="56" spans="1:21" x14ac:dyDescent="0.25">
      <c r="A56">
        <v>55</v>
      </c>
      <c r="B56">
        <f>'Editing Page'!B63</f>
        <v>71</v>
      </c>
      <c r="C56" t="s">
        <v>1479</v>
      </c>
      <c r="D56" t="s">
        <v>1013</v>
      </c>
      <c r="I56" t="s">
        <v>1520</v>
      </c>
      <c r="J56">
        <v>1</v>
      </c>
      <c r="K56" t="s">
        <v>1500</v>
      </c>
      <c r="L56" t="s">
        <v>1528</v>
      </c>
      <c r="M56">
        <v>0</v>
      </c>
      <c r="N56">
        <v>0</v>
      </c>
      <c r="O56">
        <v>1</v>
      </c>
      <c r="U56" t="s">
        <v>1500</v>
      </c>
    </row>
    <row r="57" spans="1:21" x14ac:dyDescent="0.25">
      <c r="A57">
        <v>56</v>
      </c>
      <c r="B57">
        <f>'Editing Page'!B64</f>
        <v>121</v>
      </c>
      <c r="C57" t="s">
        <v>1479</v>
      </c>
      <c r="D57" t="s">
        <v>1014</v>
      </c>
      <c r="I57" t="s">
        <v>1520</v>
      </c>
      <c r="J57">
        <v>1</v>
      </c>
      <c r="K57" t="s">
        <v>1501</v>
      </c>
      <c r="L57" t="s">
        <v>1528</v>
      </c>
      <c r="M57">
        <v>0</v>
      </c>
      <c r="N57">
        <v>0</v>
      </c>
      <c r="O57">
        <v>1</v>
      </c>
      <c r="U57" t="s">
        <v>1501</v>
      </c>
    </row>
    <row r="58" spans="1:21" x14ac:dyDescent="0.25">
      <c r="A58">
        <v>57</v>
      </c>
      <c r="B58">
        <f>'Editing Page'!B65</f>
        <v>85</v>
      </c>
      <c r="C58" t="s">
        <v>1480</v>
      </c>
      <c r="D58" t="s">
        <v>1015</v>
      </c>
      <c r="I58" t="s">
        <v>1520</v>
      </c>
      <c r="J58">
        <v>1</v>
      </c>
      <c r="K58" t="s">
        <v>1502</v>
      </c>
      <c r="L58" t="s">
        <v>1528</v>
      </c>
      <c r="M58">
        <v>0</v>
      </c>
      <c r="N58">
        <v>0</v>
      </c>
      <c r="O58">
        <v>1</v>
      </c>
      <c r="U58" t="s">
        <v>1502</v>
      </c>
    </row>
    <row r="59" spans="1:21" x14ac:dyDescent="0.25">
      <c r="A59">
        <v>58</v>
      </c>
      <c r="B59">
        <f>'Editing Page'!B66</f>
        <v>0</v>
      </c>
      <c r="C59" t="s">
        <v>1479</v>
      </c>
      <c r="D59" t="s">
        <v>1016</v>
      </c>
      <c r="I59" t="s">
        <v>1520</v>
      </c>
      <c r="J59">
        <v>1</v>
      </c>
      <c r="K59" t="s">
        <v>1503</v>
      </c>
      <c r="L59" t="s">
        <v>1528</v>
      </c>
      <c r="M59">
        <v>0</v>
      </c>
      <c r="N59">
        <v>0</v>
      </c>
      <c r="O59">
        <v>1</v>
      </c>
      <c r="U59" t="s">
        <v>1503</v>
      </c>
    </row>
    <row r="60" spans="1:21" x14ac:dyDescent="0.25">
      <c r="A60">
        <v>59</v>
      </c>
      <c r="B60">
        <f>'Editing Page'!B67</f>
        <v>5000</v>
      </c>
      <c r="C60" t="s">
        <v>1479</v>
      </c>
      <c r="D60" t="s">
        <v>1017</v>
      </c>
      <c r="I60" t="s">
        <v>1520</v>
      </c>
      <c r="J60">
        <v>1</v>
      </c>
      <c r="K60" t="s">
        <v>1504</v>
      </c>
      <c r="L60" t="s">
        <v>1528</v>
      </c>
      <c r="M60">
        <v>0</v>
      </c>
      <c r="N60">
        <v>0</v>
      </c>
      <c r="O60">
        <v>1</v>
      </c>
      <c r="U60" t="s">
        <v>1504</v>
      </c>
    </row>
    <row r="61" spans="1:21" x14ac:dyDescent="0.25">
      <c r="A61">
        <v>60</v>
      </c>
      <c r="B61">
        <f>'Editing Page'!B68</f>
        <v>0</v>
      </c>
      <c r="D61" t="s">
        <v>1018</v>
      </c>
      <c r="I61" t="s">
        <v>1520</v>
      </c>
      <c r="J61">
        <v>1</v>
      </c>
      <c r="K61" t="s">
        <v>1505</v>
      </c>
      <c r="L61" t="s">
        <v>1525</v>
      </c>
      <c r="M61">
        <v>0</v>
      </c>
      <c r="N61">
        <v>1</v>
      </c>
      <c r="O61">
        <v>0</v>
      </c>
      <c r="S61" t="s">
        <v>1505</v>
      </c>
    </row>
    <row r="62" spans="1:21" x14ac:dyDescent="0.25">
      <c r="A62">
        <v>61</v>
      </c>
      <c r="B62">
        <f>'Editing Page'!B69</f>
        <v>0</v>
      </c>
      <c r="D62" t="s">
        <v>1019</v>
      </c>
      <c r="I62" t="s">
        <v>1520</v>
      </c>
      <c r="J62">
        <v>1</v>
      </c>
      <c r="K62" t="s">
        <v>1506</v>
      </c>
      <c r="L62" t="s">
        <v>1525</v>
      </c>
      <c r="M62">
        <v>0</v>
      </c>
      <c r="N62">
        <v>1</v>
      </c>
      <c r="O62">
        <v>0</v>
      </c>
      <c r="S62" t="s">
        <v>1506</v>
      </c>
    </row>
    <row r="63" spans="1:21" x14ac:dyDescent="0.25">
      <c r="A63">
        <v>62</v>
      </c>
      <c r="B63">
        <f>'Editing Page'!B70</f>
        <v>0</v>
      </c>
      <c r="C63" t="s">
        <v>1479</v>
      </c>
      <c r="D63" t="s">
        <v>1020</v>
      </c>
      <c r="I63" t="s">
        <v>1520</v>
      </c>
      <c r="J63">
        <v>1</v>
      </c>
      <c r="K63" t="s">
        <v>1507</v>
      </c>
      <c r="L63" t="s">
        <v>1528</v>
      </c>
      <c r="M63">
        <v>0</v>
      </c>
      <c r="N63">
        <v>0</v>
      </c>
      <c r="O63">
        <v>1</v>
      </c>
      <c r="U63" t="s">
        <v>1507</v>
      </c>
    </row>
    <row r="64" spans="1:21" x14ac:dyDescent="0.25">
      <c r="A64">
        <v>63</v>
      </c>
      <c r="B64">
        <f>'Editing Page'!B71</f>
        <v>50</v>
      </c>
      <c r="C64" t="s">
        <v>1479</v>
      </c>
      <c r="D64" t="s">
        <v>1021</v>
      </c>
      <c r="I64" t="s">
        <v>1520</v>
      </c>
      <c r="J64">
        <v>1</v>
      </c>
      <c r="K64" t="s">
        <v>1508</v>
      </c>
      <c r="L64" t="s">
        <v>1528</v>
      </c>
      <c r="M64">
        <v>0</v>
      </c>
      <c r="N64">
        <v>0</v>
      </c>
      <c r="O64">
        <v>1</v>
      </c>
      <c r="U64" t="s">
        <v>1508</v>
      </c>
    </row>
    <row r="65" spans="1:21" x14ac:dyDescent="0.25">
      <c r="A65">
        <v>64</v>
      </c>
      <c r="B65">
        <f>'Editing Page'!B72</f>
        <v>15</v>
      </c>
      <c r="C65" t="s">
        <v>1479</v>
      </c>
      <c r="D65" t="s">
        <v>1022</v>
      </c>
      <c r="I65" t="s">
        <v>1520</v>
      </c>
      <c r="J65">
        <v>1</v>
      </c>
      <c r="K65" t="s">
        <v>1509</v>
      </c>
      <c r="L65" t="s">
        <v>1528</v>
      </c>
      <c r="M65">
        <v>0</v>
      </c>
      <c r="N65">
        <v>0</v>
      </c>
      <c r="O65">
        <v>1</v>
      </c>
      <c r="U65" t="s">
        <v>1509</v>
      </c>
    </row>
    <row r="66" spans="1:21" x14ac:dyDescent="0.25">
      <c r="A66">
        <v>65</v>
      </c>
      <c r="B66">
        <f>'Editing Page'!B73</f>
        <v>40</v>
      </c>
      <c r="C66" t="s">
        <v>1479</v>
      </c>
      <c r="D66" t="s">
        <v>1023</v>
      </c>
      <c r="I66" t="s">
        <v>1520</v>
      </c>
      <c r="J66">
        <v>1</v>
      </c>
      <c r="K66" t="s">
        <v>1510</v>
      </c>
      <c r="L66" t="s">
        <v>1528</v>
      </c>
      <c r="M66">
        <v>0</v>
      </c>
      <c r="N66">
        <v>0</v>
      </c>
      <c r="O66">
        <v>1</v>
      </c>
      <c r="U66" t="s">
        <v>1510</v>
      </c>
    </row>
    <row r="67" spans="1:21" x14ac:dyDescent="0.25">
      <c r="A67">
        <v>66</v>
      </c>
      <c r="B67">
        <f>'Editing Page'!B74</f>
        <v>0</v>
      </c>
      <c r="C67" t="s">
        <v>1479</v>
      </c>
      <c r="D67" t="s">
        <v>1024</v>
      </c>
      <c r="J67">
        <v>0</v>
      </c>
      <c r="K67" t="s">
        <v>1511</v>
      </c>
      <c r="L67" t="s">
        <v>1528</v>
      </c>
      <c r="M67">
        <v>0</v>
      </c>
      <c r="N67">
        <v>0</v>
      </c>
      <c r="O67">
        <v>1</v>
      </c>
      <c r="U67" t="s">
        <v>1511</v>
      </c>
    </row>
    <row r="68" spans="1:21" x14ac:dyDescent="0.25">
      <c r="A68">
        <v>67</v>
      </c>
      <c r="B68">
        <f>'Editing Page'!B75</f>
        <v>0</v>
      </c>
      <c r="C68" t="s">
        <v>1479</v>
      </c>
      <c r="D68" t="s">
        <v>1025</v>
      </c>
      <c r="J68">
        <v>0</v>
      </c>
      <c r="K68" t="s">
        <v>1512</v>
      </c>
      <c r="L68" t="s">
        <v>1528</v>
      </c>
      <c r="M68">
        <v>0</v>
      </c>
      <c r="N68">
        <v>0</v>
      </c>
      <c r="O68">
        <v>1</v>
      </c>
      <c r="U68" t="s">
        <v>1512</v>
      </c>
    </row>
    <row r="69" spans="1:21" x14ac:dyDescent="0.25">
      <c r="A69">
        <v>68</v>
      </c>
      <c r="B69">
        <f>'Editing Page'!B76</f>
        <v>0</v>
      </c>
      <c r="C69" t="s">
        <v>1479</v>
      </c>
      <c r="D69" t="s">
        <v>1026</v>
      </c>
      <c r="J69">
        <v>0</v>
      </c>
      <c r="K69" t="s">
        <v>1513</v>
      </c>
      <c r="L69" t="s">
        <v>1528</v>
      </c>
      <c r="M69">
        <v>0</v>
      </c>
      <c r="N69">
        <v>0</v>
      </c>
      <c r="O69">
        <v>1</v>
      </c>
      <c r="U69" t="s">
        <v>1513</v>
      </c>
    </row>
    <row r="70" spans="1:21" x14ac:dyDescent="0.25">
      <c r="A70">
        <v>69</v>
      </c>
      <c r="B70" t="str">
        <f>'Editing Page'!B77</f>
        <v>SASOL SYNFUELS</v>
      </c>
      <c r="D70" t="s">
        <v>1027</v>
      </c>
      <c r="J70">
        <v>0</v>
      </c>
      <c r="K70" t="s">
        <v>1514</v>
      </c>
      <c r="L70" t="s">
        <v>1521</v>
      </c>
      <c r="M70">
        <v>1</v>
      </c>
      <c r="N70">
        <v>0</v>
      </c>
      <c r="O70">
        <v>0</v>
      </c>
      <c r="Q70" t="s">
        <v>1514</v>
      </c>
    </row>
    <row r="71" spans="1:21" x14ac:dyDescent="0.25">
      <c r="A71">
        <v>70</v>
      </c>
      <c r="B71" t="str">
        <f>'Editing Page'!B78</f>
        <v>SASOL SYNFUELS</v>
      </c>
      <c r="D71" t="s">
        <v>1028</v>
      </c>
      <c r="J71">
        <v>0</v>
      </c>
      <c r="K71" t="s">
        <v>1515</v>
      </c>
      <c r="L71" t="s">
        <v>1521</v>
      </c>
      <c r="M71">
        <v>1</v>
      </c>
      <c r="N71">
        <v>0</v>
      </c>
      <c r="O71">
        <v>0</v>
      </c>
      <c r="Q71" t="s">
        <v>1515</v>
      </c>
    </row>
    <row r="72" spans="1:21" x14ac:dyDescent="0.25">
      <c r="A72">
        <v>71</v>
      </c>
      <c r="B72">
        <f>'Editing Page'!B79</f>
        <v>2</v>
      </c>
      <c r="D72" t="s">
        <v>1569</v>
      </c>
      <c r="J72">
        <v>0</v>
      </c>
      <c r="K72" t="s">
        <v>1570</v>
      </c>
      <c r="L72" t="s">
        <v>1525</v>
      </c>
      <c r="M72">
        <v>0</v>
      </c>
      <c r="N72">
        <v>1</v>
      </c>
      <c r="O72">
        <v>0</v>
      </c>
      <c r="S72" t="s">
        <v>1570</v>
      </c>
    </row>
    <row r="73" spans="1:21" x14ac:dyDescent="0.25">
      <c r="A73">
        <v>72</v>
      </c>
      <c r="B73" t="str">
        <f>'Editing Page'!B80</f>
        <v>N</v>
      </c>
      <c r="D73" t="s">
        <v>1030</v>
      </c>
      <c r="J73">
        <v>0</v>
      </c>
      <c r="K73" t="s">
        <v>1516</v>
      </c>
      <c r="L73" t="s">
        <v>1521</v>
      </c>
      <c r="M73">
        <v>1</v>
      </c>
      <c r="N73">
        <v>0</v>
      </c>
      <c r="O73">
        <v>0</v>
      </c>
      <c r="Q73" t="s">
        <v>1516</v>
      </c>
    </row>
    <row r="74" spans="1:21" x14ac:dyDescent="0.25">
      <c r="A74">
        <v>73</v>
      </c>
      <c r="B74" t="str">
        <f>'Editing Page'!B81</f>
        <v>TTTTT</v>
      </c>
      <c r="D74" t="s">
        <v>1032</v>
      </c>
      <c r="J74">
        <v>0</v>
      </c>
      <c r="K74" t="s">
        <v>1571</v>
      </c>
      <c r="L74" t="s">
        <v>1521</v>
      </c>
      <c r="M74">
        <v>1</v>
      </c>
      <c r="N74">
        <v>0</v>
      </c>
      <c r="O74">
        <v>0</v>
      </c>
      <c r="Q74" t="s">
        <v>1571</v>
      </c>
    </row>
    <row r="75" spans="1:21" x14ac:dyDescent="0.25">
      <c r="A75">
        <v>74</v>
      </c>
      <c r="B75">
        <f>'Editing Page'!B82</f>
        <v>7</v>
      </c>
      <c r="C75" t="s">
        <v>1481</v>
      </c>
      <c r="D75" t="s">
        <v>1033</v>
      </c>
      <c r="J75">
        <v>0</v>
      </c>
      <c r="K75" t="s">
        <v>1572</v>
      </c>
      <c r="L75" t="s">
        <v>1528</v>
      </c>
      <c r="M75">
        <v>0</v>
      </c>
      <c r="N75">
        <v>0</v>
      </c>
      <c r="O75">
        <v>1</v>
      </c>
      <c r="U75" t="s">
        <v>1572</v>
      </c>
    </row>
    <row r="76" spans="1:21" x14ac:dyDescent="0.25">
      <c r="A76">
        <v>75</v>
      </c>
      <c r="B76">
        <f>'Editing Page'!B83</f>
        <v>1.5</v>
      </c>
      <c r="C76" t="s">
        <v>1481</v>
      </c>
      <c r="D76" t="s">
        <v>1034</v>
      </c>
      <c r="J76">
        <v>0</v>
      </c>
      <c r="K76" t="s">
        <v>1573</v>
      </c>
      <c r="L76" t="s">
        <v>1528</v>
      </c>
      <c r="M76">
        <v>0</v>
      </c>
      <c r="N76">
        <v>0</v>
      </c>
      <c r="O76">
        <v>1</v>
      </c>
      <c r="U76" t="s">
        <v>1573</v>
      </c>
    </row>
    <row r="77" spans="1:21" x14ac:dyDescent="0.25">
      <c r="A77">
        <v>76</v>
      </c>
      <c r="B77">
        <f>'Editing Page'!B84</f>
        <v>2.5</v>
      </c>
      <c r="C77" t="s">
        <v>1481</v>
      </c>
      <c r="D77" t="s">
        <v>1035</v>
      </c>
      <c r="J77">
        <v>0</v>
      </c>
      <c r="K77" t="s">
        <v>1574</v>
      </c>
      <c r="L77" t="s">
        <v>1528</v>
      </c>
      <c r="M77">
        <v>0</v>
      </c>
      <c r="N77">
        <v>0</v>
      </c>
      <c r="O77">
        <v>1</v>
      </c>
      <c r="U77" t="s">
        <v>1574</v>
      </c>
    </row>
    <row r="78" spans="1:21" x14ac:dyDescent="0.25">
      <c r="A78">
        <v>77</v>
      </c>
      <c r="B78">
        <f>'Editing Page'!B85</f>
        <v>1800</v>
      </c>
      <c r="C78" t="s">
        <v>1482</v>
      </c>
      <c r="D78" t="s">
        <v>1036</v>
      </c>
      <c r="J78">
        <v>0</v>
      </c>
      <c r="K78" t="s">
        <v>1575</v>
      </c>
      <c r="L78" t="s">
        <v>1528</v>
      </c>
      <c r="M78">
        <v>0</v>
      </c>
      <c r="N78">
        <v>0</v>
      </c>
      <c r="O78">
        <v>1</v>
      </c>
      <c r="U78" t="s">
        <v>1575</v>
      </c>
    </row>
    <row r="79" spans="1:21" x14ac:dyDescent="0.25">
      <c r="A79">
        <v>78</v>
      </c>
      <c r="B79" t="str">
        <f>'Editing Page'!B86</f>
        <v>IP55</v>
      </c>
      <c r="D79" t="s">
        <v>1037</v>
      </c>
      <c r="J79">
        <v>0</v>
      </c>
      <c r="K79" t="s">
        <v>1576</v>
      </c>
      <c r="L79" t="s">
        <v>1521</v>
      </c>
      <c r="M79">
        <v>1</v>
      </c>
      <c r="N79">
        <v>0</v>
      </c>
      <c r="O79">
        <v>0</v>
      </c>
      <c r="Q79" t="s">
        <v>1576</v>
      </c>
    </row>
    <row r="80" spans="1:21" x14ac:dyDescent="0.25">
      <c r="A80">
        <v>79</v>
      </c>
      <c r="B80" t="str">
        <f>'Editing Page'!B87</f>
        <v>IC411</v>
      </c>
      <c r="D80" t="s">
        <v>1038</v>
      </c>
      <c r="J80">
        <v>0</v>
      </c>
      <c r="K80" t="s">
        <v>1577</v>
      </c>
      <c r="L80" t="s">
        <v>1521</v>
      </c>
      <c r="M80">
        <v>1</v>
      </c>
      <c r="N80">
        <v>0</v>
      </c>
      <c r="O80">
        <v>0</v>
      </c>
      <c r="Q80" t="s">
        <v>1577</v>
      </c>
    </row>
    <row r="81" spans="1:21" x14ac:dyDescent="0.25">
      <c r="A81">
        <v>80</v>
      </c>
      <c r="B81" t="str">
        <f>'Editing Page'!B88</f>
        <v>IM1001</v>
      </c>
      <c r="D81" t="s">
        <v>1040</v>
      </c>
      <c r="J81">
        <v>0</v>
      </c>
      <c r="K81" t="s">
        <v>1578</v>
      </c>
      <c r="L81" t="s">
        <v>1521</v>
      </c>
      <c r="M81">
        <v>1</v>
      </c>
      <c r="N81">
        <v>0</v>
      </c>
      <c r="O81">
        <v>0</v>
      </c>
      <c r="Q81" t="s">
        <v>1578</v>
      </c>
    </row>
    <row r="82" spans="1:21" x14ac:dyDescent="0.25">
      <c r="A82">
        <v>81</v>
      </c>
      <c r="B82">
        <f>'Editing Page'!B89</f>
        <v>0</v>
      </c>
      <c r="D82" t="s">
        <v>1041</v>
      </c>
      <c r="J82">
        <v>0</v>
      </c>
      <c r="K82" t="s">
        <v>1579</v>
      </c>
      <c r="L82" t="s">
        <v>1525</v>
      </c>
      <c r="M82">
        <v>0</v>
      </c>
      <c r="N82">
        <v>1</v>
      </c>
      <c r="O82">
        <v>0</v>
      </c>
      <c r="S82" t="s">
        <v>1579</v>
      </c>
    </row>
    <row r="83" spans="1:21" x14ac:dyDescent="0.25">
      <c r="A83">
        <v>82</v>
      </c>
      <c r="B83">
        <f>'Editing Page'!B90</f>
        <v>20</v>
      </c>
      <c r="C83" t="s">
        <v>1483</v>
      </c>
      <c r="D83" t="s">
        <v>1042</v>
      </c>
      <c r="J83">
        <v>0</v>
      </c>
      <c r="K83" t="s">
        <v>1580</v>
      </c>
      <c r="L83" t="s">
        <v>1528</v>
      </c>
      <c r="M83">
        <v>0</v>
      </c>
      <c r="N83">
        <v>0</v>
      </c>
      <c r="O83">
        <v>1</v>
      </c>
      <c r="U83" t="s">
        <v>1580</v>
      </c>
    </row>
    <row r="84" spans="1:21" x14ac:dyDescent="0.25">
      <c r="A84">
        <v>83</v>
      </c>
      <c r="B84">
        <f>'Editing Page'!B91</f>
        <v>5</v>
      </c>
      <c r="D84" t="s">
        <v>1194</v>
      </c>
      <c r="J84">
        <v>0</v>
      </c>
      <c r="K84" t="s">
        <v>1581</v>
      </c>
      <c r="L84" t="s">
        <v>1525</v>
      </c>
      <c r="M84">
        <v>0</v>
      </c>
      <c r="N84">
        <v>1</v>
      </c>
      <c r="O84">
        <v>0</v>
      </c>
      <c r="S84" t="s">
        <v>1581</v>
      </c>
    </row>
    <row r="85" spans="1:21" x14ac:dyDescent="0.25">
      <c r="A85">
        <v>84</v>
      </c>
      <c r="B85">
        <f>'Editing Page'!B92</f>
        <v>40</v>
      </c>
      <c r="C85" t="s">
        <v>1483</v>
      </c>
      <c r="D85" t="s">
        <v>1043</v>
      </c>
      <c r="J85">
        <v>0</v>
      </c>
      <c r="K85" t="s">
        <v>1582</v>
      </c>
      <c r="L85" t="s">
        <v>1528</v>
      </c>
      <c r="M85">
        <v>0</v>
      </c>
      <c r="N85">
        <v>0</v>
      </c>
      <c r="O85">
        <v>1</v>
      </c>
      <c r="U85" t="s">
        <v>1582</v>
      </c>
    </row>
    <row r="86" spans="1:21" x14ac:dyDescent="0.25">
      <c r="A86">
        <v>85</v>
      </c>
      <c r="B86">
        <f>'Editing Page'!B93</f>
        <v>1650</v>
      </c>
      <c r="C86" t="s">
        <v>1484</v>
      </c>
      <c r="D86" t="s">
        <v>1044</v>
      </c>
      <c r="J86">
        <v>0</v>
      </c>
      <c r="K86" t="s">
        <v>1583</v>
      </c>
      <c r="L86" t="s">
        <v>1528</v>
      </c>
      <c r="M86">
        <v>0</v>
      </c>
      <c r="N86">
        <v>0</v>
      </c>
      <c r="O86">
        <v>1</v>
      </c>
      <c r="U86" t="s">
        <v>1583</v>
      </c>
    </row>
    <row r="87" spans="1:21" x14ac:dyDescent="0.25">
      <c r="A87">
        <v>86</v>
      </c>
      <c r="B87">
        <f>'Editing Page'!B94</f>
        <v>120</v>
      </c>
      <c r="C87" t="s">
        <v>1483</v>
      </c>
      <c r="D87" t="s">
        <v>1045</v>
      </c>
      <c r="J87">
        <v>0</v>
      </c>
      <c r="K87" t="s">
        <v>1584</v>
      </c>
      <c r="L87" t="s">
        <v>1528</v>
      </c>
      <c r="M87">
        <v>0</v>
      </c>
      <c r="N87">
        <v>0</v>
      </c>
      <c r="O87">
        <v>1</v>
      </c>
      <c r="U87" t="s">
        <v>1584</v>
      </c>
    </row>
    <row r="88" spans="1:21" x14ac:dyDescent="0.25">
      <c r="A88">
        <v>87</v>
      </c>
      <c r="B88">
        <f>'Editing Page'!B95</f>
        <v>130</v>
      </c>
      <c r="C88" t="s">
        <v>1483</v>
      </c>
      <c r="D88" t="s">
        <v>1046</v>
      </c>
      <c r="J88">
        <v>0</v>
      </c>
      <c r="K88" t="s">
        <v>1585</v>
      </c>
      <c r="L88" t="s">
        <v>1528</v>
      </c>
      <c r="M88">
        <v>0</v>
      </c>
      <c r="N88">
        <v>0</v>
      </c>
      <c r="O88">
        <v>1</v>
      </c>
      <c r="U88" t="s">
        <v>1585</v>
      </c>
    </row>
    <row r="89" spans="1:21" x14ac:dyDescent="0.25">
      <c r="A89">
        <v>88</v>
      </c>
      <c r="B89">
        <f>'Editing Page'!B96</f>
        <v>350</v>
      </c>
      <c r="C89" t="s">
        <v>1483</v>
      </c>
      <c r="D89" t="s">
        <v>1047</v>
      </c>
      <c r="J89">
        <v>0</v>
      </c>
      <c r="K89" t="s">
        <v>1586</v>
      </c>
      <c r="L89" t="s">
        <v>1528</v>
      </c>
      <c r="M89">
        <v>0</v>
      </c>
      <c r="N89">
        <v>0</v>
      </c>
      <c r="O89">
        <v>1</v>
      </c>
      <c r="U89" t="s">
        <v>1586</v>
      </c>
    </row>
    <row r="90" spans="1:21" x14ac:dyDescent="0.25">
      <c r="A90">
        <v>89</v>
      </c>
      <c r="B90">
        <f>'Editing Page'!B97</f>
        <v>95</v>
      </c>
      <c r="C90" t="s">
        <v>1483</v>
      </c>
      <c r="D90" t="s">
        <v>1048</v>
      </c>
      <c r="J90">
        <v>0</v>
      </c>
      <c r="K90" t="s">
        <v>1587</v>
      </c>
      <c r="L90" t="s">
        <v>1528</v>
      </c>
      <c r="M90">
        <v>0</v>
      </c>
      <c r="N90">
        <v>0</v>
      </c>
      <c r="O90">
        <v>1</v>
      </c>
      <c r="U90" t="s">
        <v>1587</v>
      </c>
    </row>
    <row r="91" spans="1:21" x14ac:dyDescent="0.25">
      <c r="A91">
        <v>90</v>
      </c>
      <c r="B91">
        <f>'Editing Page'!B98</f>
        <v>100</v>
      </c>
      <c r="C91" t="s">
        <v>1483</v>
      </c>
      <c r="D91" t="s">
        <v>1049</v>
      </c>
      <c r="J91">
        <v>0</v>
      </c>
      <c r="K91" t="s">
        <v>1588</v>
      </c>
      <c r="L91" t="s">
        <v>1528</v>
      </c>
      <c r="M91">
        <v>0</v>
      </c>
      <c r="N91">
        <v>0</v>
      </c>
      <c r="O91">
        <v>1</v>
      </c>
      <c r="U91" t="s">
        <v>1588</v>
      </c>
    </row>
    <row r="92" spans="1:21" x14ac:dyDescent="0.25">
      <c r="A92">
        <v>91</v>
      </c>
      <c r="B92" t="str">
        <f>'Editing Page'!B99</f>
        <v>M530</v>
      </c>
      <c r="D92" t="s">
        <v>1195</v>
      </c>
      <c r="J92">
        <v>0</v>
      </c>
      <c r="K92" t="s">
        <v>1589</v>
      </c>
      <c r="L92" t="s">
        <v>1521</v>
      </c>
      <c r="M92">
        <v>1</v>
      </c>
      <c r="N92">
        <v>0</v>
      </c>
      <c r="O92">
        <v>0</v>
      </c>
      <c r="Q92" t="s">
        <v>1589</v>
      </c>
    </row>
    <row r="93" spans="1:21" x14ac:dyDescent="0.25">
      <c r="A93">
        <v>92</v>
      </c>
      <c r="B93" t="str">
        <f>'Editing Page'!B100</f>
        <v>M530</v>
      </c>
      <c r="D93" t="s">
        <v>1196</v>
      </c>
      <c r="J93">
        <v>0</v>
      </c>
      <c r="K93" t="s">
        <v>1590</v>
      </c>
      <c r="L93" t="s">
        <v>1521</v>
      </c>
      <c r="M93">
        <v>1</v>
      </c>
      <c r="N93">
        <v>0</v>
      </c>
      <c r="O93">
        <v>0</v>
      </c>
      <c r="Q93" t="s">
        <v>1590</v>
      </c>
    </row>
    <row r="94" spans="1:21" x14ac:dyDescent="0.25">
      <c r="A94">
        <v>93</v>
      </c>
      <c r="B94">
        <f>'Editing Page'!B101</f>
        <v>1</v>
      </c>
      <c r="D94" t="s">
        <v>1051</v>
      </c>
      <c r="J94">
        <v>0</v>
      </c>
      <c r="K94" t="s">
        <v>1591</v>
      </c>
      <c r="L94" t="s">
        <v>1525</v>
      </c>
      <c r="M94">
        <v>0</v>
      </c>
      <c r="N94">
        <v>1</v>
      </c>
      <c r="O94">
        <v>0</v>
      </c>
      <c r="S94" t="s">
        <v>1591</v>
      </c>
    </row>
    <row r="95" spans="1:21" x14ac:dyDescent="0.25">
      <c r="A95">
        <v>94</v>
      </c>
      <c r="B95">
        <f>'Editing Page'!B102</f>
        <v>1</v>
      </c>
      <c r="D95" t="s">
        <v>1052</v>
      </c>
      <c r="J95">
        <v>0</v>
      </c>
      <c r="K95" t="s">
        <v>1592</v>
      </c>
      <c r="L95" t="s">
        <v>1525</v>
      </c>
      <c r="M95">
        <v>0</v>
      </c>
      <c r="N95">
        <v>1</v>
      </c>
      <c r="O95">
        <v>0</v>
      </c>
      <c r="S95" t="s">
        <v>1592</v>
      </c>
    </row>
    <row r="96" spans="1:21" x14ac:dyDescent="0.25">
      <c r="A96">
        <v>95</v>
      </c>
      <c r="B96">
        <f>'Editing Page'!B103</f>
        <v>0.5</v>
      </c>
      <c r="C96" t="s">
        <v>1479</v>
      </c>
      <c r="D96" t="s">
        <v>1053</v>
      </c>
      <c r="J96">
        <v>0</v>
      </c>
      <c r="K96" t="s">
        <v>1593</v>
      </c>
      <c r="L96" t="s">
        <v>1528</v>
      </c>
      <c r="M96">
        <v>0</v>
      </c>
      <c r="N96">
        <v>0</v>
      </c>
      <c r="O96">
        <v>1</v>
      </c>
      <c r="U96" t="s">
        <v>1593</v>
      </c>
    </row>
    <row r="97" spans="1:21" x14ac:dyDescent="0.25">
      <c r="A97">
        <v>96</v>
      </c>
      <c r="B97">
        <f>'Editing Page'!B104</f>
        <v>0.5</v>
      </c>
      <c r="C97" t="s">
        <v>1479</v>
      </c>
      <c r="D97" t="s">
        <v>1054</v>
      </c>
      <c r="J97">
        <v>0</v>
      </c>
      <c r="K97" t="s">
        <v>1594</v>
      </c>
      <c r="L97" t="s">
        <v>1528</v>
      </c>
      <c r="M97">
        <v>0</v>
      </c>
      <c r="N97">
        <v>0</v>
      </c>
      <c r="O97">
        <v>1</v>
      </c>
      <c r="U97" t="s">
        <v>1594</v>
      </c>
    </row>
    <row r="98" spans="1:21" x14ac:dyDescent="0.25">
      <c r="A98">
        <v>97</v>
      </c>
      <c r="B98" t="str">
        <f>'Editing Page'!B105</f>
        <v>BPS2009</v>
      </c>
      <c r="D98" t="s">
        <v>1056</v>
      </c>
      <c r="J98">
        <v>0</v>
      </c>
      <c r="K98" t="s">
        <v>1595</v>
      </c>
      <c r="L98" t="s">
        <v>1521</v>
      </c>
      <c r="M98">
        <v>1</v>
      </c>
      <c r="N98">
        <v>0</v>
      </c>
      <c r="O98">
        <v>0</v>
      </c>
      <c r="Q98" t="s">
        <v>1595</v>
      </c>
    </row>
    <row r="99" spans="1:21" x14ac:dyDescent="0.25">
      <c r="A99">
        <v>98</v>
      </c>
      <c r="B99" t="str">
        <f>'Editing Page'!B106</f>
        <v>Arms on Shaft</v>
      </c>
      <c r="D99" t="s">
        <v>1057</v>
      </c>
      <c r="J99">
        <v>0</v>
      </c>
      <c r="K99" t="s">
        <v>1596</v>
      </c>
      <c r="L99" t="s">
        <v>1521</v>
      </c>
      <c r="M99">
        <v>1</v>
      </c>
      <c r="N99">
        <v>0</v>
      </c>
      <c r="O99">
        <v>0</v>
      </c>
      <c r="Q99" t="s">
        <v>1596</v>
      </c>
    </row>
    <row r="100" spans="1:21" x14ac:dyDescent="0.25">
      <c r="A100">
        <v>99</v>
      </c>
      <c r="B100">
        <f>'Editing Page'!B107</f>
        <v>1.7</v>
      </c>
      <c r="C100" t="s">
        <v>1479</v>
      </c>
      <c r="D100" t="s">
        <v>1058</v>
      </c>
      <c r="J100">
        <v>0</v>
      </c>
      <c r="K100" t="s">
        <v>1597</v>
      </c>
      <c r="L100" t="s">
        <v>1528</v>
      </c>
      <c r="M100">
        <v>0</v>
      </c>
      <c r="N100">
        <v>0</v>
      </c>
      <c r="O100">
        <v>1</v>
      </c>
      <c r="U100" t="s">
        <v>1597</v>
      </c>
    </row>
    <row r="101" spans="1:21" x14ac:dyDescent="0.25">
      <c r="A101">
        <v>100</v>
      </c>
      <c r="B101">
        <f>'Editing Page'!B108</f>
        <v>120</v>
      </c>
      <c r="C101" t="s">
        <v>1479</v>
      </c>
      <c r="D101" t="s">
        <v>1059</v>
      </c>
      <c r="J101">
        <v>0</v>
      </c>
      <c r="K101" t="s">
        <v>1598</v>
      </c>
      <c r="L101" t="s">
        <v>1528</v>
      </c>
      <c r="M101">
        <v>0</v>
      </c>
      <c r="N101">
        <v>0</v>
      </c>
      <c r="O101">
        <v>1</v>
      </c>
      <c r="U101" t="s">
        <v>1598</v>
      </c>
    </row>
    <row r="102" spans="1:21" x14ac:dyDescent="0.25">
      <c r="A102">
        <v>101</v>
      </c>
      <c r="B102">
        <f>'Editing Page'!B109</f>
        <v>0</v>
      </c>
      <c r="D102" t="s">
        <v>1060</v>
      </c>
      <c r="J102">
        <v>0</v>
      </c>
      <c r="K102" t="s">
        <v>1599</v>
      </c>
      <c r="L102" t="s">
        <v>1525</v>
      </c>
      <c r="M102">
        <v>0</v>
      </c>
      <c r="N102">
        <v>1</v>
      </c>
      <c r="O102">
        <v>0</v>
      </c>
      <c r="S102" t="s">
        <v>1599</v>
      </c>
    </row>
    <row r="103" spans="1:21" x14ac:dyDescent="0.25">
      <c r="A103">
        <v>102</v>
      </c>
      <c r="B103">
        <f>'Editing Page'!B110</f>
        <v>0</v>
      </c>
      <c r="C103" t="s">
        <v>1479</v>
      </c>
      <c r="D103" t="s">
        <v>1061</v>
      </c>
      <c r="J103">
        <v>0</v>
      </c>
      <c r="K103" t="s">
        <v>1600</v>
      </c>
      <c r="L103" t="s">
        <v>1528</v>
      </c>
      <c r="M103">
        <v>0</v>
      </c>
      <c r="N103">
        <v>0</v>
      </c>
      <c r="O103">
        <v>1</v>
      </c>
      <c r="U103" t="s">
        <v>1600</v>
      </c>
    </row>
    <row r="104" spans="1:21" x14ac:dyDescent="0.25">
      <c r="A104">
        <v>103</v>
      </c>
      <c r="B104">
        <f>'Editing Page'!B111</f>
        <v>0</v>
      </c>
      <c r="C104" t="s">
        <v>1479</v>
      </c>
      <c r="D104" t="s">
        <v>1062</v>
      </c>
      <c r="J104">
        <v>0</v>
      </c>
      <c r="K104" t="s">
        <v>1601</v>
      </c>
      <c r="L104" t="s">
        <v>1528</v>
      </c>
      <c r="M104">
        <v>0</v>
      </c>
      <c r="N104">
        <v>0</v>
      </c>
      <c r="O104">
        <v>1</v>
      </c>
      <c r="U104" t="s">
        <v>1601</v>
      </c>
    </row>
    <row r="105" spans="1:21" x14ac:dyDescent="0.25">
      <c r="A105">
        <v>104</v>
      </c>
      <c r="B105">
        <f>'Editing Page'!B112</f>
        <v>120</v>
      </c>
      <c r="C105" t="s">
        <v>1479</v>
      </c>
      <c r="D105" t="s">
        <v>1063</v>
      </c>
      <c r="J105">
        <v>0</v>
      </c>
      <c r="K105" t="s">
        <v>1602</v>
      </c>
      <c r="L105" t="s">
        <v>1528</v>
      </c>
      <c r="M105">
        <v>0</v>
      </c>
      <c r="N105">
        <v>0</v>
      </c>
      <c r="O105">
        <v>1</v>
      </c>
      <c r="U105" t="s">
        <v>1602</v>
      </c>
    </row>
    <row r="106" spans="1:21" x14ac:dyDescent="0.25">
      <c r="A106">
        <v>105</v>
      </c>
      <c r="B106" t="str">
        <f>'Editing Page'!B113</f>
        <v>lX7293</v>
      </c>
      <c r="D106" t="s">
        <v>1064</v>
      </c>
      <c r="J106">
        <v>0</v>
      </c>
      <c r="K106" t="s">
        <v>1603</v>
      </c>
      <c r="L106" t="s">
        <v>1521</v>
      </c>
      <c r="M106">
        <v>1</v>
      </c>
      <c r="N106">
        <v>0</v>
      </c>
      <c r="O106">
        <v>0</v>
      </c>
      <c r="Q106" t="s">
        <v>1603</v>
      </c>
    </row>
    <row r="107" spans="1:21" x14ac:dyDescent="0.25">
      <c r="A107">
        <v>106</v>
      </c>
      <c r="B107">
        <f>'Editing Page'!B114</f>
        <v>0</v>
      </c>
      <c r="D107" t="s">
        <v>1197</v>
      </c>
      <c r="J107">
        <v>0</v>
      </c>
      <c r="K107" t="s">
        <v>1604</v>
      </c>
      <c r="L107" t="s">
        <v>1525</v>
      </c>
      <c r="M107">
        <v>0</v>
      </c>
      <c r="N107">
        <v>1</v>
      </c>
      <c r="O107">
        <v>0</v>
      </c>
      <c r="S107" t="s">
        <v>1604</v>
      </c>
    </row>
    <row r="108" spans="1:21" x14ac:dyDescent="0.25">
      <c r="A108">
        <v>107</v>
      </c>
      <c r="B108">
        <f>'Editing Page'!B115</f>
        <v>0</v>
      </c>
      <c r="D108" t="s">
        <v>1065</v>
      </c>
      <c r="J108">
        <v>0</v>
      </c>
      <c r="K108" t="s">
        <v>1605</v>
      </c>
      <c r="L108" t="s">
        <v>1525</v>
      </c>
      <c r="M108">
        <v>0</v>
      </c>
      <c r="N108">
        <v>1</v>
      </c>
      <c r="O108">
        <v>0</v>
      </c>
      <c r="S108" t="s">
        <v>1605</v>
      </c>
    </row>
    <row r="109" spans="1:21" x14ac:dyDescent="0.25">
      <c r="A109">
        <v>108</v>
      </c>
      <c r="B109">
        <f>'Editing Page'!B116</f>
        <v>0</v>
      </c>
      <c r="C109" t="s">
        <v>1479</v>
      </c>
      <c r="D109" t="s">
        <v>1066</v>
      </c>
      <c r="J109">
        <v>0</v>
      </c>
      <c r="K109" t="s">
        <v>1606</v>
      </c>
      <c r="L109" t="s">
        <v>1528</v>
      </c>
      <c r="M109">
        <v>0</v>
      </c>
      <c r="N109">
        <v>0</v>
      </c>
      <c r="O109">
        <v>1</v>
      </c>
      <c r="U109" t="s">
        <v>1606</v>
      </c>
    </row>
    <row r="110" spans="1:21" x14ac:dyDescent="0.25">
      <c r="A110">
        <v>109</v>
      </c>
      <c r="B110">
        <f>'Editing Page'!B117</f>
        <v>0.95</v>
      </c>
      <c r="D110" t="s">
        <v>1067</v>
      </c>
      <c r="J110">
        <v>0</v>
      </c>
      <c r="K110" t="s">
        <v>1607</v>
      </c>
      <c r="L110" t="s">
        <v>1528</v>
      </c>
      <c r="M110">
        <v>0</v>
      </c>
      <c r="N110">
        <v>0</v>
      </c>
      <c r="O110">
        <v>1</v>
      </c>
      <c r="U110" t="s">
        <v>1607</v>
      </c>
    </row>
    <row r="111" spans="1:21" x14ac:dyDescent="0.25">
      <c r="A111">
        <v>110</v>
      </c>
      <c r="B111">
        <f>'Editing Page'!B118</f>
        <v>38</v>
      </c>
      <c r="D111" t="s">
        <v>1068</v>
      </c>
      <c r="G111" t="s">
        <v>1608</v>
      </c>
      <c r="H111" t="s">
        <v>1609</v>
      </c>
      <c r="J111">
        <v>0</v>
      </c>
      <c r="K111" t="s">
        <v>1469</v>
      </c>
      <c r="L111" t="s">
        <v>1525</v>
      </c>
      <c r="M111">
        <v>0</v>
      </c>
      <c r="N111">
        <v>1</v>
      </c>
      <c r="O111">
        <v>0</v>
      </c>
      <c r="S111" t="s">
        <v>1469</v>
      </c>
    </row>
    <row r="112" spans="1:21" x14ac:dyDescent="0.25">
      <c r="A112">
        <v>111</v>
      </c>
      <c r="B112" t="str">
        <f>'Editing Page'!B119</f>
        <v>NRA</v>
      </c>
      <c r="D112" t="s">
        <v>1198</v>
      </c>
      <c r="H112" t="s">
        <v>1609</v>
      </c>
      <c r="J112">
        <v>0</v>
      </c>
      <c r="K112" t="s">
        <v>1470</v>
      </c>
      <c r="L112" t="s">
        <v>1521</v>
      </c>
      <c r="M112">
        <v>1</v>
      </c>
      <c r="N112">
        <v>0</v>
      </c>
      <c r="O112">
        <v>0</v>
      </c>
      <c r="Q112" t="s">
        <v>1470</v>
      </c>
    </row>
    <row r="113" spans="1:21" x14ac:dyDescent="0.25">
      <c r="A113">
        <v>112</v>
      </c>
      <c r="B113">
        <f>'Editing Page'!B120</f>
        <v>0</v>
      </c>
      <c r="D113" t="s">
        <v>1199</v>
      </c>
      <c r="H113" t="s">
        <v>1609</v>
      </c>
      <c r="J113">
        <v>0</v>
      </c>
      <c r="K113" t="s">
        <v>1610</v>
      </c>
      <c r="L113" t="s">
        <v>1525</v>
      </c>
      <c r="M113">
        <v>0</v>
      </c>
      <c r="N113">
        <v>1</v>
      </c>
      <c r="O113">
        <v>0</v>
      </c>
      <c r="S113" t="s">
        <v>1610</v>
      </c>
    </row>
    <row r="114" spans="1:21" x14ac:dyDescent="0.25">
      <c r="A114">
        <v>113</v>
      </c>
      <c r="B114">
        <f>'Editing Page'!B121</f>
        <v>0</v>
      </c>
      <c r="D114" t="s">
        <v>1070</v>
      </c>
      <c r="H114" t="s">
        <v>1609</v>
      </c>
      <c r="J114">
        <v>0</v>
      </c>
      <c r="K114" t="s">
        <v>1471</v>
      </c>
      <c r="L114" t="s">
        <v>1528</v>
      </c>
      <c r="M114">
        <v>0</v>
      </c>
      <c r="N114">
        <v>0</v>
      </c>
      <c r="O114">
        <v>1</v>
      </c>
      <c r="U114" t="s">
        <v>1471</v>
      </c>
    </row>
    <row r="115" spans="1:21" x14ac:dyDescent="0.25">
      <c r="A115">
        <v>114</v>
      </c>
      <c r="B115" t="str">
        <f>'Editing Page'!B122</f>
        <v>C</v>
      </c>
      <c r="D115" t="s">
        <v>1200</v>
      </c>
      <c r="G115" t="s">
        <v>1608</v>
      </c>
      <c r="H115" t="s">
        <v>1609</v>
      </c>
      <c r="J115">
        <v>0</v>
      </c>
      <c r="K115" t="s">
        <v>1517</v>
      </c>
      <c r="L115" t="s">
        <v>1521</v>
      </c>
      <c r="M115">
        <v>1</v>
      </c>
      <c r="N115">
        <v>0</v>
      </c>
      <c r="O115">
        <v>0</v>
      </c>
      <c r="Q115" t="s">
        <v>1517</v>
      </c>
    </row>
    <row r="116" spans="1:21" x14ac:dyDescent="0.25">
      <c r="A116">
        <v>115</v>
      </c>
      <c r="B116">
        <f>'Editing Page'!B123</f>
        <v>0</v>
      </c>
      <c r="C116" t="s">
        <v>1479</v>
      </c>
      <c r="D116" t="s">
        <v>1072</v>
      </c>
      <c r="H116" t="s">
        <v>1609</v>
      </c>
      <c r="J116">
        <v>0</v>
      </c>
      <c r="K116" t="s">
        <v>1518</v>
      </c>
      <c r="L116" t="s">
        <v>1528</v>
      </c>
      <c r="M116">
        <v>0</v>
      </c>
      <c r="N116">
        <v>0</v>
      </c>
      <c r="O116">
        <v>1</v>
      </c>
      <c r="U116" t="s">
        <v>1518</v>
      </c>
    </row>
    <row r="117" spans="1:21" x14ac:dyDescent="0.25">
      <c r="A117">
        <v>116</v>
      </c>
      <c r="B117">
        <f>'Editing Page'!B124</f>
        <v>0</v>
      </c>
      <c r="C117" t="s">
        <v>1485</v>
      </c>
      <c r="D117" t="s">
        <v>1611</v>
      </c>
      <c r="G117" t="s">
        <v>1608</v>
      </c>
      <c r="J117">
        <v>0</v>
      </c>
      <c r="K117" t="s">
        <v>1612</v>
      </c>
      <c r="L117" t="s">
        <v>1528</v>
      </c>
      <c r="M117">
        <v>0</v>
      </c>
      <c r="N117">
        <v>0</v>
      </c>
      <c r="O117">
        <v>1</v>
      </c>
      <c r="U117" t="s">
        <v>1612</v>
      </c>
    </row>
    <row r="118" spans="1:21" x14ac:dyDescent="0.25">
      <c r="A118">
        <v>117</v>
      </c>
      <c r="B118">
        <f>'Editing Page'!B125</f>
        <v>3</v>
      </c>
      <c r="C118" t="s">
        <v>1479</v>
      </c>
      <c r="D118" t="s">
        <v>1073</v>
      </c>
      <c r="G118" t="s">
        <v>1608</v>
      </c>
      <c r="H118" t="s">
        <v>1609</v>
      </c>
      <c r="J118">
        <v>0</v>
      </c>
      <c r="K118" t="s">
        <v>1608</v>
      </c>
      <c r="L118" t="s">
        <v>1528</v>
      </c>
      <c r="M118">
        <v>0</v>
      </c>
      <c r="N118">
        <v>0</v>
      </c>
      <c r="O118">
        <v>1</v>
      </c>
      <c r="U118" t="s">
        <v>1608</v>
      </c>
    </row>
    <row r="119" spans="1:21" x14ac:dyDescent="0.25">
      <c r="A119">
        <v>118</v>
      </c>
      <c r="B119">
        <f>'Editing Page'!B126</f>
        <v>1</v>
      </c>
      <c r="C119" t="s">
        <v>1479</v>
      </c>
      <c r="D119" t="s">
        <v>1074</v>
      </c>
      <c r="G119" t="s">
        <v>1608</v>
      </c>
      <c r="H119" t="s">
        <v>1609</v>
      </c>
      <c r="J119">
        <v>0</v>
      </c>
      <c r="K119" t="s">
        <v>1613</v>
      </c>
      <c r="L119" t="s">
        <v>1528</v>
      </c>
      <c r="M119">
        <v>0</v>
      </c>
      <c r="N119">
        <v>0</v>
      </c>
      <c r="O119">
        <v>1</v>
      </c>
      <c r="U119" t="s">
        <v>1613</v>
      </c>
    </row>
    <row r="120" spans="1:21" x14ac:dyDescent="0.25">
      <c r="A120">
        <v>119</v>
      </c>
      <c r="B120">
        <f>'Editing Page'!B127</f>
        <v>0</v>
      </c>
      <c r="C120" t="s">
        <v>1479</v>
      </c>
      <c r="D120" t="s">
        <v>1201</v>
      </c>
      <c r="H120" t="s">
        <v>1609</v>
      </c>
      <c r="J120">
        <v>0</v>
      </c>
      <c r="K120" t="s">
        <v>1614</v>
      </c>
      <c r="L120" t="s">
        <v>1528</v>
      </c>
      <c r="M120">
        <v>0</v>
      </c>
      <c r="N120">
        <v>0</v>
      </c>
      <c r="O120">
        <v>1</v>
      </c>
      <c r="U120" t="s">
        <v>1614</v>
      </c>
    </row>
    <row r="121" spans="1:21" x14ac:dyDescent="0.25">
      <c r="A121">
        <v>120</v>
      </c>
      <c r="B121">
        <f>'Editing Page'!B128</f>
        <v>0</v>
      </c>
      <c r="C121" t="s">
        <v>1479</v>
      </c>
      <c r="D121" t="s">
        <v>1075</v>
      </c>
      <c r="H121" t="s">
        <v>1609</v>
      </c>
      <c r="K121" t="s">
        <v>1615</v>
      </c>
      <c r="L121" t="s">
        <v>1528</v>
      </c>
      <c r="M121">
        <v>0</v>
      </c>
      <c r="N121">
        <v>0</v>
      </c>
      <c r="O121">
        <v>1</v>
      </c>
      <c r="U121" t="s">
        <v>1615</v>
      </c>
    </row>
    <row r="122" spans="1:21" x14ac:dyDescent="0.25">
      <c r="A122">
        <v>121</v>
      </c>
      <c r="B122">
        <f>'Editing Page'!B129</f>
        <v>0</v>
      </c>
      <c r="C122" t="s">
        <v>1479</v>
      </c>
      <c r="D122" t="s">
        <v>1202</v>
      </c>
      <c r="H122" t="s">
        <v>1609</v>
      </c>
      <c r="J122">
        <v>0</v>
      </c>
      <c r="K122" t="s">
        <v>1616</v>
      </c>
      <c r="L122" t="s">
        <v>1528</v>
      </c>
      <c r="M122">
        <v>0</v>
      </c>
      <c r="N122">
        <v>0</v>
      </c>
      <c r="O122">
        <v>1</v>
      </c>
      <c r="U122" t="s">
        <v>1616</v>
      </c>
    </row>
    <row r="123" spans="1:21" x14ac:dyDescent="0.25">
      <c r="A123">
        <v>122</v>
      </c>
      <c r="B123">
        <f>'Editing Page'!B130</f>
        <v>8.6999999999999993</v>
      </c>
      <c r="C123" t="s">
        <v>1479</v>
      </c>
      <c r="D123" t="s">
        <v>1203</v>
      </c>
      <c r="G123" t="s">
        <v>1608</v>
      </c>
      <c r="H123" t="s">
        <v>1609</v>
      </c>
      <c r="J123">
        <v>0</v>
      </c>
      <c r="K123" t="s">
        <v>1617</v>
      </c>
      <c r="L123" t="s">
        <v>1528</v>
      </c>
      <c r="M123">
        <v>0</v>
      </c>
      <c r="N123">
        <v>0</v>
      </c>
      <c r="O123">
        <v>1</v>
      </c>
      <c r="U123" t="s">
        <v>1617</v>
      </c>
    </row>
    <row r="124" spans="1:21" x14ac:dyDescent="0.25">
      <c r="A124">
        <v>123</v>
      </c>
      <c r="B124">
        <f>'Editing Page'!B131</f>
        <v>0</v>
      </c>
      <c r="C124" t="s">
        <v>1479</v>
      </c>
      <c r="D124" t="s">
        <v>1076</v>
      </c>
      <c r="H124" t="s">
        <v>1609</v>
      </c>
      <c r="K124" t="s">
        <v>1618</v>
      </c>
      <c r="L124" t="s">
        <v>1528</v>
      </c>
      <c r="M124">
        <v>0</v>
      </c>
      <c r="N124">
        <v>0</v>
      </c>
      <c r="O124">
        <v>1</v>
      </c>
      <c r="U124" t="s">
        <v>1618</v>
      </c>
    </row>
    <row r="125" spans="1:21" x14ac:dyDescent="0.25">
      <c r="A125">
        <v>124</v>
      </c>
      <c r="B125">
        <f>'Editing Page'!B132</f>
        <v>32.6</v>
      </c>
      <c r="C125" t="s">
        <v>1479</v>
      </c>
      <c r="D125" t="s">
        <v>1077</v>
      </c>
      <c r="G125" t="s">
        <v>1608</v>
      </c>
      <c r="H125" t="s">
        <v>1609</v>
      </c>
      <c r="J125">
        <v>0</v>
      </c>
      <c r="K125" t="s">
        <v>1619</v>
      </c>
      <c r="L125" t="s">
        <v>1528</v>
      </c>
      <c r="M125">
        <v>0</v>
      </c>
      <c r="N125">
        <v>0</v>
      </c>
      <c r="O125">
        <v>1</v>
      </c>
      <c r="U125" t="s">
        <v>1619</v>
      </c>
    </row>
    <row r="126" spans="1:21" x14ac:dyDescent="0.25">
      <c r="A126">
        <v>125</v>
      </c>
      <c r="B126">
        <f>'Editing Page'!B133</f>
        <v>0</v>
      </c>
      <c r="C126" t="s">
        <v>1479</v>
      </c>
      <c r="D126" t="s">
        <v>1078</v>
      </c>
      <c r="H126" t="s">
        <v>1609</v>
      </c>
      <c r="K126" t="s">
        <v>1620</v>
      </c>
      <c r="L126" t="s">
        <v>1528</v>
      </c>
      <c r="M126">
        <v>0</v>
      </c>
      <c r="N126">
        <v>0</v>
      </c>
      <c r="O126">
        <v>1</v>
      </c>
      <c r="U126" t="s">
        <v>1620</v>
      </c>
    </row>
    <row r="127" spans="1:21" x14ac:dyDescent="0.25">
      <c r="A127">
        <v>126</v>
      </c>
      <c r="B127">
        <f>'Editing Page'!B134</f>
        <v>0</v>
      </c>
      <c r="C127" t="s">
        <v>1479</v>
      </c>
      <c r="D127" t="s">
        <v>1079</v>
      </c>
      <c r="H127" t="s">
        <v>1609</v>
      </c>
      <c r="K127" t="s">
        <v>1621</v>
      </c>
      <c r="L127" t="s">
        <v>1528</v>
      </c>
      <c r="M127">
        <v>0</v>
      </c>
      <c r="N127">
        <v>0</v>
      </c>
      <c r="O127">
        <v>1</v>
      </c>
      <c r="U127" t="s">
        <v>1621</v>
      </c>
    </row>
    <row r="128" spans="1:21" x14ac:dyDescent="0.25">
      <c r="A128">
        <v>127</v>
      </c>
      <c r="B128">
        <f>'Editing Page'!B135</f>
        <v>0</v>
      </c>
      <c r="C128" t="s">
        <v>1479</v>
      </c>
      <c r="D128" t="s">
        <v>1080</v>
      </c>
      <c r="H128" t="s">
        <v>1609</v>
      </c>
      <c r="J128">
        <v>0</v>
      </c>
      <c r="K128" t="s">
        <v>1622</v>
      </c>
      <c r="L128" t="s">
        <v>1528</v>
      </c>
      <c r="M128">
        <v>0</v>
      </c>
      <c r="N128">
        <v>0</v>
      </c>
      <c r="O128">
        <v>1</v>
      </c>
      <c r="U128" t="s">
        <v>1622</v>
      </c>
    </row>
    <row r="129" spans="1:21" x14ac:dyDescent="0.25">
      <c r="A129">
        <v>128</v>
      </c>
      <c r="B129">
        <f>'Editing Page'!B136</f>
        <v>8</v>
      </c>
      <c r="C129" t="s">
        <v>1479</v>
      </c>
      <c r="D129" t="s">
        <v>1623</v>
      </c>
      <c r="H129" t="s">
        <v>1609</v>
      </c>
      <c r="J129">
        <v>0</v>
      </c>
      <c r="K129" t="s">
        <v>1624</v>
      </c>
      <c r="L129" t="s">
        <v>1528</v>
      </c>
      <c r="M129">
        <v>0</v>
      </c>
      <c r="N129">
        <v>0</v>
      </c>
      <c r="O129">
        <v>1</v>
      </c>
      <c r="U129" t="s">
        <v>1624</v>
      </c>
    </row>
    <row r="130" spans="1:21" x14ac:dyDescent="0.25">
      <c r="A130">
        <v>129</v>
      </c>
      <c r="B130">
        <f>'Editing Page'!B137</f>
        <v>32</v>
      </c>
      <c r="C130" t="s">
        <v>1479</v>
      </c>
      <c r="D130" t="s">
        <v>1625</v>
      </c>
      <c r="H130" t="s">
        <v>1609</v>
      </c>
      <c r="J130">
        <v>0</v>
      </c>
      <c r="K130" t="s">
        <v>1626</v>
      </c>
      <c r="L130" t="s">
        <v>1528</v>
      </c>
      <c r="M130">
        <v>0</v>
      </c>
      <c r="N130">
        <v>0</v>
      </c>
      <c r="O130">
        <v>1</v>
      </c>
      <c r="U130" t="s">
        <v>1626</v>
      </c>
    </row>
    <row r="131" spans="1:21" x14ac:dyDescent="0.25">
      <c r="A131">
        <v>130</v>
      </c>
      <c r="B131">
        <f>'Editing Page'!B138</f>
        <v>-1</v>
      </c>
      <c r="C131" t="s">
        <v>1479</v>
      </c>
      <c r="D131" t="s">
        <v>1081</v>
      </c>
      <c r="G131" t="s">
        <v>1608</v>
      </c>
      <c r="H131" t="s">
        <v>1609</v>
      </c>
      <c r="J131">
        <v>0</v>
      </c>
      <c r="K131" t="s">
        <v>1472</v>
      </c>
      <c r="L131" t="s">
        <v>1528</v>
      </c>
      <c r="M131">
        <v>0</v>
      </c>
      <c r="N131">
        <v>0</v>
      </c>
      <c r="O131">
        <v>1</v>
      </c>
      <c r="U131" t="s">
        <v>1472</v>
      </c>
    </row>
    <row r="132" spans="1:21" x14ac:dyDescent="0.25">
      <c r="A132">
        <v>131</v>
      </c>
      <c r="B132">
        <f>'Editing Page'!B139</f>
        <v>1.79</v>
      </c>
      <c r="C132" t="s">
        <v>1486</v>
      </c>
      <c r="D132" t="s">
        <v>1082</v>
      </c>
      <c r="H132" t="s">
        <v>1609</v>
      </c>
      <c r="J132">
        <v>0</v>
      </c>
      <c r="K132" t="s">
        <v>1473</v>
      </c>
      <c r="L132" t="s">
        <v>1528</v>
      </c>
      <c r="M132">
        <v>0</v>
      </c>
      <c r="N132">
        <v>0</v>
      </c>
      <c r="O132">
        <v>1</v>
      </c>
      <c r="U132" t="s">
        <v>1473</v>
      </c>
    </row>
    <row r="133" spans="1:21" x14ac:dyDescent="0.25">
      <c r="A133">
        <v>132</v>
      </c>
      <c r="B133">
        <f>'Editing Page'!B140</f>
        <v>4.0000000000000001E-3</v>
      </c>
      <c r="C133" t="s">
        <v>1487</v>
      </c>
      <c r="D133" t="s">
        <v>1083</v>
      </c>
      <c r="H133" t="s">
        <v>1609</v>
      </c>
      <c r="K133" t="s">
        <v>1627</v>
      </c>
      <c r="L133" t="s">
        <v>1528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427</v>
      </c>
      <c r="C134" t="s">
        <v>1479</v>
      </c>
      <c r="D134" t="s">
        <v>1084</v>
      </c>
      <c r="H134" t="s">
        <v>1609</v>
      </c>
      <c r="J134">
        <v>0</v>
      </c>
      <c r="K134" t="s">
        <v>1628</v>
      </c>
      <c r="L134" t="s">
        <v>1528</v>
      </c>
      <c r="M134">
        <v>0</v>
      </c>
      <c r="N134">
        <v>0</v>
      </c>
      <c r="O134">
        <v>1</v>
      </c>
      <c r="U134" t="s">
        <v>1628</v>
      </c>
    </row>
    <row r="135" spans="1:21" x14ac:dyDescent="0.25">
      <c r="A135">
        <v>134</v>
      </c>
      <c r="B135">
        <f>'Editing Page'!B142</f>
        <v>0</v>
      </c>
      <c r="C135" t="s">
        <v>1486</v>
      </c>
      <c r="D135" t="s">
        <v>1085</v>
      </c>
      <c r="H135" t="s">
        <v>1609</v>
      </c>
      <c r="K135" t="s">
        <v>1629</v>
      </c>
      <c r="L135" t="s">
        <v>1528</v>
      </c>
      <c r="M135">
        <v>0</v>
      </c>
      <c r="N135">
        <v>0</v>
      </c>
      <c r="O135">
        <v>1</v>
      </c>
      <c r="U135" t="s">
        <v>1629</v>
      </c>
    </row>
    <row r="136" spans="1:21" x14ac:dyDescent="0.25">
      <c r="A136">
        <v>135</v>
      </c>
      <c r="B136">
        <f>'Editing Page'!B143</f>
        <v>0</v>
      </c>
      <c r="C136" t="s">
        <v>1487</v>
      </c>
      <c r="D136" t="s">
        <v>1086</v>
      </c>
      <c r="H136" t="s">
        <v>1609</v>
      </c>
      <c r="K136" t="s">
        <v>1630</v>
      </c>
      <c r="L136" t="s">
        <v>1528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1479</v>
      </c>
      <c r="D137" t="s">
        <v>1087</v>
      </c>
      <c r="H137" t="s">
        <v>1609</v>
      </c>
      <c r="K137" t="s">
        <v>1631</v>
      </c>
      <c r="L137" t="s">
        <v>1528</v>
      </c>
      <c r="M137">
        <v>0</v>
      </c>
      <c r="N137">
        <v>0</v>
      </c>
      <c r="O137">
        <v>1</v>
      </c>
      <c r="U137" t="s">
        <v>1631</v>
      </c>
    </row>
    <row r="138" spans="1:21" x14ac:dyDescent="0.25">
      <c r="A138">
        <v>137</v>
      </c>
      <c r="B138">
        <f>'Editing Page'!B145</f>
        <v>1.79</v>
      </c>
      <c r="C138" t="s">
        <v>1486</v>
      </c>
      <c r="D138" t="s">
        <v>1088</v>
      </c>
      <c r="H138" t="s">
        <v>1609</v>
      </c>
      <c r="J138">
        <v>0</v>
      </c>
      <c r="K138" t="s">
        <v>1632</v>
      </c>
      <c r="L138" t="s">
        <v>1528</v>
      </c>
      <c r="M138">
        <v>0</v>
      </c>
      <c r="N138">
        <v>0</v>
      </c>
      <c r="O138">
        <v>1</v>
      </c>
      <c r="U138" t="s">
        <v>1632</v>
      </c>
    </row>
    <row r="139" spans="1:21" x14ac:dyDescent="0.25">
      <c r="A139">
        <v>138</v>
      </c>
      <c r="B139">
        <f>'Editing Page'!B146</f>
        <v>4.0000000000000001E-3</v>
      </c>
      <c r="C139" t="s">
        <v>1487</v>
      </c>
      <c r="D139" t="s">
        <v>1089</v>
      </c>
      <c r="H139" t="s">
        <v>1609</v>
      </c>
      <c r="K139" t="s">
        <v>1633</v>
      </c>
      <c r="L139" t="s">
        <v>1528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15</v>
      </c>
      <c r="C140" t="s">
        <v>1479</v>
      </c>
      <c r="D140" t="s">
        <v>1090</v>
      </c>
      <c r="H140" t="s">
        <v>1609</v>
      </c>
      <c r="J140">
        <v>0</v>
      </c>
      <c r="K140" t="s">
        <v>1634</v>
      </c>
      <c r="L140" t="s">
        <v>1528</v>
      </c>
      <c r="M140">
        <v>0</v>
      </c>
      <c r="N140">
        <v>0</v>
      </c>
      <c r="O140">
        <v>1</v>
      </c>
      <c r="U140" t="s">
        <v>1634</v>
      </c>
    </row>
    <row r="141" spans="1:21" x14ac:dyDescent="0.25">
      <c r="A141">
        <v>140</v>
      </c>
      <c r="B141">
        <f>'Editing Page'!B148</f>
        <v>45</v>
      </c>
      <c r="C141" t="s">
        <v>1479</v>
      </c>
      <c r="D141" t="s">
        <v>1091</v>
      </c>
      <c r="H141" t="s">
        <v>1609</v>
      </c>
      <c r="J141">
        <v>0</v>
      </c>
      <c r="K141" t="s">
        <v>1635</v>
      </c>
      <c r="L141" t="s">
        <v>1528</v>
      </c>
      <c r="M141">
        <v>0</v>
      </c>
      <c r="N141">
        <v>0</v>
      </c>
      <c r="O141">
        <v>1</v>
      </c>
      <c r="U141" t="s">
        <v>1635</v>
      </c>
    </row>
    <row r="142" spans="1:21" x14ac:dyDescent="0.25">
      <c r="A142">
        <v>141</v>
      </c>
      <c r="B142">
        <f>'Editing Page'!B149</f>
        <v>276.5</v>
      </c>
      <c r="C142" t="s">
        <v>1479</v>
      </c>
      <c r="D142" t="s">
        <v>1092</v>
      </c>
      <c r="H142" t="s">
        <v>1609</v>
      </c>
      <c r="J142">
        <v>0</v>
      </c>
      <c r="K142" t="s">
        <v>1636</v>
      </c>
      <c r="L142" t="s">
        <v>1528</v>
      </c>
      <c r="M142">
        <v>0</v>
      </c>
      <c r="N142">
        <v>0</v>
      </c>
      <c r="O142">
        <v>1</v>
      </c>
      <c r="U142" t="s">
        <v>1636</v>
      </c>
    </row>
    <row r="143" spans="1:21" x14ac:dyDescent="0.25">
      <c r="A143">
        <v>142</v>
      </c>
      <c r="B143">
        <f>'Editing Page'!B150</f>
        <v>0</v>
      </c>
      <c r="C143" t="s">
        <v>1486</v>
      </c>
      <c r="D143" t="s">
        <v>1093</v>
      </c>
      <c r="H143" t="s">
        <v>1609</v>
      </c>
      <c r="J143">
        <v>0</v>
      </c>
      <c r="K143" t="s">
        <v>1637</v>
      </c>
      <c r="L143" t="s">
        <v>1528</v>
      </c>
      <c r="M143">
        <v>0</v>
      </c>
      <c r="N143">
        <v>0</v>
      </c>
      <c r="O143">
        <v>1</v>
      </c>
      <c r="U143" t="s">
        <v>1637</v>
      </c>
    </row>
    <row r="144" spans="1:21" x14ac:dyDescent="0.25">
      <c r="A144">
        <v>143</v>
      </c>
      <c r="B144">
        <f>'Editing Page'!B151</f>
        <v>0</v>
      </c>
      <c r="C144" t="s">
        <v>1487</v>
      </c>
      <c r="D144" t="s">
        <v>1094</v>
      </c>
      <c r="H144" t="s">
        <v>1609</v>
      </c>
      <c r="K144" t="s">
        <v>1638</v>
      </c>
      <c r="L144" t="s">
        <v>1528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1479</v>
      </c>
      <c r="D145" t="s">
        <v>1095</v>
      </c>
      <c r="H145" t="s">
        <v>1609</v>
      </c>
      <c r="K145" t="s">
        <v>1639</v>
      </c>
      <c r="L145" t="s">
        <v>1528</v>
      </c>
      <c r="M145">
        <v>0</v>
      </c>
      <c r="N145">
        <v>0</v>
      </c>
      <c r="O145">
        <v>1</v>
      </c>
      <c r="U145" t="s">
        <v>1639</v>
      </c>
    </row>
    <row r="146" spans="1:21" x14ac:dyDescent="0.25">
      <c r="A146">
        <v>145</v>
      </c>
      <c r="B146">
        <f>'Editing Page'!B153</f>
        <v>0</v>
      </c>
      <c r="C146" t="s">
        <v>1479</v>
      </c>
      <c r="D146" t="s">
        <v>1096</v>
      </c>
      <c r="H146" t="s">
        <v>1609</v>
      </c>
      <c r="K146" t="s">
        <v>1640</v>
      </c>
      <c r="L146" t="s">
        <v>1528</v>
      </c>
      <c r="M146">
        <v>0</v>
      </c>
      <c r="N146">
        <v>0</v>
      </c>
      <c r="O146">
        <v>1</v>
      </c>
      <c r="U146" t="s">
        <v>1640</v>
      </c>
    </row>
    <row r="147" spans="1:21" x14ac:dyDescent="0.25">
      <c r="A147">
        <v>146</v>
      </c>
      <c r="B147">
        <f>'Editing Page'!B154</f>
        <v>0</v>
      </c>
      <c r="C147" t="s">
        <v>1479</v>
      </c>
      <c r="D147" t="s">
        <v>1097</v>
      </c>
      <c r="H147" t="s">
        <v>1609</v>
      </c>
      <c r="K147" t="s">
        <v>1641</v>
      </c>
      <c r="L147" t="s">
        <v>1528</v>
      </c>
      <c r="M147">
        <v>0</v>
      </c>
      <c r="N147">
        <v>0</v>
      </c>
      <c r="O147">
        <v>1</v>
      </c>
      <c r="U147" t="s">
        <v>1641</v>
      </c>
    </row>
    <row r="148" spans="1:21" x14ac:dyDescent="0.25">
      <c r="A148">
        <v>147</v>
      </c>
      <c r="B148">
        <f>'Editing Page'!B155</f>
        <v>38</v>
      </c>
      <c r="D148" t="s">
        <v>1098</v>
      </c>
      <c r="H148" t="s">
        <v>1609</v>
      </c>
      <c r="K148" t="s">
        <v>1642</v>
      </c>
      <c r="L148" t="s">
        <v>1525</v>
      </c>
      <c r="M148">
        <v>0</v>
      </c>
      <c r="N148">
        <v>1</v>
      </c>
      <c r="O148">
        <v>0</v>
      </c>
      <c r="S148" t="s">
        <v>1642</v>
      </c>
    </row>
    <row r="149" spans="1:21" x14ac:dyDescent="0.25">
      <c r="A149">
        <v>148</v>
      </c>
      <c r="B149">
        <f>'Editing Page'!B156</f>
        <v>11</v>
      </c>
      <c r="C149" t="s">
        <v>1479</v>
      </c>
      <c r="D149" t="s">
        <v>1099</v>
      </c>
      <c r="H149" t="s">
        <v>1609</v>
      </c>
      <c r="K149" t="s">
        <v>1643</v>
      </c>
      <c r="L149" t="s">
        <v>1528</v>
      </c>
      <c r="M149">
        <v>0</v>
      </c>
      <c r="N149">
        <v>0</v>
      </c>
      <c r="O149">
        <v>1</v>
      </c>
      <c r="U149" t="s">
        <v>1643</v>
      </c>
    </row>
    <row r="150" spans="1:21" x14ac:dyDescent="0.25">
      <c r="A150">
        <v>149</v>
      </c>
      <c r="B150">
        <f>'Editing Page'!B157</f>
        <v>7</v>
      </c>
      <c r="C150" t="s">
        <v>1479</v>
      </c>
      <c r="D150" t="s">
        <v>1100</v>
      </c>
      <c r="H150" t="s">
        <v>1609</v>
      </c>
      <c r="K150" t="s">
        <v>1644</v>
      </c>
      <c r="L150" t="s">
        <v>1528</v>
      </c>
      <c r="M150">
        <v>0</v>
      </c>
      <c r="N150">
        <v>0</v>
      </c>
      <c r="O150">
        <v>1</v>
      </c>
      <c r="U150" t="s">
        <v>1644</v>
      </c>
    </row>
    <row r="151" spans="1:21" x14ac:dyDescent="0.25">
      <c r="A151">
        <v>150</v>
      </c>
      <c r="B151">
        <f>'Editing Page'!B158</f>
        <v>28</v>
      </c>
      <c r="C151" t="s">
        <v>1479</v>
      </c>
      <c r="D151" t="s">
        <v>1101</v>
      </c>
      <c r="H151" t="s">
        <v>1609</v>
      </c>
      <c r="K151" t="s">
        <v>1645</v>
      </c>
      <c r="L151" t="s">
        <v>1528</v>
      </c>
      <c r="M151">
        <v>0</v>
      </c>
      <c r="N151">
        <v>0</v>
      </c>
      <c r="O151">
        <v>1</v>
      </c>
      <c r="U151" t="s">
        <v>1645</v>
      </c>
    </row>
    <row r="152" spans="1:21" x14ac:dyDescent="0.25">
      <c r="A152">
        <v>151</v>
      </c>
      <c r="B152">
        <f>'Editing Page'!B159</f>
        <v>208</v>
      </c>
      <c r="C152" t="s">
        <v>1479</v>
      </c>
      <c r="D152" t="s">
        <v>1102</v>
      </c>
      <c r="H152" t="s">
        <v>1609</v>
      </c>
      <c r="K152" t="s">
        <v>1646</v>
      </c>
      <c r="L152" t="s">
        <v>1528</v>
      </c>
      <c r="M152">
        <v>0</v>
      </c>
      <c r="N152">
        <v>0</v>
      </c>
      <c r="O152">
        <v>1</v>
      </c>
      <c r="U152" t="s">
        <v>1646</v>
      </c>
    </row>
    <row r="153" spans="1:21" x14ac:dyDescent="0.25">
      <c r="A153">
        <v>152</v>
      </c>
      <c r="B153" t="str">
        <f>'Editing Page'!B160</f>
        <v>S</v>
      </c>
      <c r="D153" t="s">
        <v>1206</v>
      </c>
      <c r="G153" t="s">
        <v>1608</v>
      </c>
      <c r="J153">
        <v>0</v>
      </c>
      <c r="K153" t="s">
        <v>1647</v>
      </c>
      <c r="L153" t="s">
        <v>1521</v>
      </c>
      <c r="M153">
        <v>1</v>
      </c>
      <c r="N153">
        <v>0</v>
      </c>
      <c r="O153">
        <v>0</v>
      </c>
      <c r="Q153" t="s">
        <v>1647</v>
      </c>
    </row>
    <row r="154" spans="1:21" x14ac:dyDescent="0.25">
      <c r="A154">
        <v>153</v>
      </c>
      <c r="B154">
        <f>'Editing Page'!B161</f>
        <v>0</v>
      </c>
      <c r="D154" t="s">
        <v>1103</v>
      </c>
      <c r="G154" t="s">
        <v>1608</v>
      </c>
      <c r="J154">
        <v>0</v>
      </c>
      <c r="K154" t="s">
        <v>1648</v>
      </c>
      <c r="L154" t="s">
        <v>1521</v>
      </c>
      <c r="M154">
        <v>1</v>
      </c>
      <c r="N154">
        <v>0</v>
      </c>
      <c r="O154">
        <v>0</v>
      </c>
      <c r="Q154" t="s">
        <v>1648</v>
      </c>
    </row>
    <row r="155" spans="1:21" x14ac:dyDescent="0.25">
      <c r="A155">
        <v>154</v>
      </c>
      <c r="B155">
        <f>'Editing Page'!B162</f>
        <v>0</v>
      </c>
      <c r="D155" t="s">
        <v>1104</v>
      </c>
      <c r="G155" t="s">
        <v>1608</v>
      </c>
      <c r="J155">
        <v>0</v>
      </c>
      <c r="K155" t="s">
        <v>1649</v>
      </c>
      <c r="L155" t="s">
        <v>1525</v>
      </c>
      <c r="M155">
        <v>0</v>
      </c>
      <c r="N155">
        <v>1</v>
      </c>
      <c r="O155">
        <v>0</v>
      </c>
      <c r="S155" t="s">
        <v>1649</v>
      </c>
    </row>
    <row r="156" spans="1:21" x14ac:dyDescent="0.25">
      <c r="A156">
        <v>155</v>
      </c>
      <c r="B156">
        <f>'Editing Page'!B163</f>
        <v>0</v>
      </c>
      <c r="D156" t="s">
        <v>1105</v>
      </c>
      <c r="G156" t="s">
        <v>1608</v>
      </c>
      <c r="J156">
        <v>0</v>
      </c>
      <c r="K156" t="s">
        <v>1650</v>
      </c>
      <c r="L156" t="s">
        <v>1525</v>
      </c>
      <c r="M156">
        <v>0</v>
      </c>
      <c r="N156">
        <v>1</v>
      </c>
      <c r="O156">
        <v>0</v>
      </c>
      <c r="S156" t="s">
        <v>1650</v>
      </c>
    </row>
    <row r="157" spans="1:21" x14ac:dyDescent="0.25">
      <c r="A157">
        <v>156</v>
      </c>
      <c r="B157">
        <f>'Editing Page'!B164</f>
        <v>0</v>
      </c>
      <c r="D157" t="s">
        <v>1106</v>
      </c>
      <c r="G157" t="s">
        <v>1608</v>
      </c>
      <c r="J157">
        <v>0</v>
      </c>
      <c r="K157" t="s">
        <v>1651</v>
      </c>
      <c r="L157" t="s">
        <v>1525</v>
      </c>
      <c r="M157">
        <v>0</v>
      </c>
      <c r="N157">
        <v>1</v>
      </c>
      <c r="O157">
        <v>0</v>
      </c>
      <c r="S157" t="s">
        <v>1651</v>
      </c>
    </row>
    <row r="158" spans="1:21" x14ac:dyDescent="0.25">
      <c r="A158">
        <v>157</v>
      </c>
      <c r="B158">
        <f>'Editing Page'!B165</f>
        <v>0</v>
      </c>
      <c r="D158" t="s">
        <v>1107</v>
      </c>
      <c r="G158" t="s">
        <v>1608</v>
      </c>
      <c r="J158">
        <v>0</v>
      </c>
      <c r="K158" t="s">
        <v>1652</v>
      </c>
      <c r="L158" t="s">
        <v>1528</v>
      </c>
      <c r="M158">
        <v>0</v>
      </c>
      <c r="N158">
        <v>0</v>
      </c>
      <c r="O158">
        <v>1</v>
      </c>
      <c r="U158" t="s">
        <v>1652</v>
      </c>
    </row>
    <row r="159" spans="1:21" x14ac:dyDescent="0.25">
      <c r="A159">
        <v>158</v>
      </c>
      <c r="B159">
        <f>'Editing Page'!B166</f>
        <v>0</v>
      </c>
      <c r="D159" t="s">
        <v>1108</v>
      </c>
      <c r="G159" t="s">
        <v>1608</v>
      </c>
      <c r="J159">
        <v>0</v>
      </c>
      <c r="K159" t="s">
        <v>1653</v>
      </c>
      <c r="L159" t="s">
        <v>1528</v>
      </c>
      <c r="M159">
        <v>0</v>
      </c>
      <c r="N159">
        <v>0</v>
      </c>
      <c r="O159">
        <v>1</v>
      </c>
      <c r="U159" t="s">
        <v>1653</v>
      </c>
    </row>
    <row r="160" spans="1:21" x14ac:dyDescent="0.25">
      <c r="A160">
        <v>159</v>
      </c>
      <c r="B160">
        <f>'Editing Page'!B167</f>
        <v>0</v>
      </c>
      <c r="C160" t="s">
        <v>1479</v>
      </c>
      <c r="D160" t="s">
        <v>1109</v>
      </c>
      <c r="G160" t="s">
        <v>1608</v>
      </c>
      <c r="J160">
        <v>0</v>
      </c>
      <c r="K160" t="s">
        <v>1654</v>
      </c>
      <c r="L160" t="s">
        <v>1528</v>
      </c>
      <c r="M160">
        <v>0</v>
      </c>
      <c r="N160">
        <v>0</v>
      </c>
      <c r="O160">
        <v>1</v>
      </c>
      <c r="U160" t="s">
        <v>1654</v>
      </c>
    </row>
    <row r="161" spans="1:21" x14ac:dyDescent="0.25">
      <c r="A161">
        <v>160</v>
      </c>
      <c r="B161">
        <f>'Editing Page'!B168</f>
        <v>0</v>
      </c>
      <c r="C161" t="s">
        <v>1481</v>
      </c>
      <c r="D161" t="s">
        <v>1110</v>
      </c>
      <c r="G161" t="s">
        <v>1608</v>
      </c>
      <c r="J161">
        <v>0</v>
      </c>
      <c r="K161" t="s">
        <v>1655</v>
      </c>
      <c r="L161" t="s">
        <v>1528</v>
      </c>
      <c r="M161">
        <v>0</v>
      </c>
      <c r="N161">
        <v>0</v>
      </c>
      <c r="O161">
        <v>1</v>
      </c>
      <c r="U161" t="s">
        <v>1655</v>
      </c>
    </row>
    <row r="162" spans="1:21" x14ac:dyDescent="0.25">
      <c r="A162">
        <v>161</v>
      </c>
      <c r="B162">
        <f>'Editing Page'!B169</f>
        <v>0</v>
      </c>
      <c r="D162" t="s">
        <v>1111</v>
      </c>
      <c r="G162" t="s">
        <v>1608</v>
      </c>
      <c r="J162">
        <v>0</v>
      </c>
      <c r="K162" t="s">
        <v>1656</v>
      </c>
      <c r="L162" t="s">
        <v>1528</v>
      </c>
      <c r="M162">
        <v>0</v>
      </c>
      <c r="N162">
        <v>0</v>
      </c>
      <c r="O162">
        <v>1</v>
      </c>
      <c r="U162" t="s">
        <v>1656</v>
      </c>
    </row>
    <row r="163" spans="1:21" x14ac:dyDescent="0.25">
      <c r="A163">
        <v>162</v>
      </c>
      <c r="B163">
        <f>'Editing Page'!B170</f>
        <v>0</v>
      </c>
      <c r="C163" t="s">
        <v>1479</v>
      </c>
      <c r="D163" t="s">
        <v>1112</v>
      </c>
      <c r="G163" t="s">
        <v>1608</v>
      </c>
      <c r="J163">
        <v>0</v>
      </c>
      <c r="K163" t="s">
        <v>1657</v>
      </c>
      <c r="L163" t="s">
        <v>1528</v>
      </c>
      <c r="M163">
        <v>0</v>
      </c>
      <c r="N163">
        <v>0</v>
      </c>
      <c r="O163">
        <v>1</v>
      </c>
      <c r="U163" t="s">
        <v>1657</v>
      </c>
    </row>
    <row r="164" spans="1:21" x14ac:dyDescent="0.25">
      <c r="A164">
        <v>163</v>
      </c>
      <c r="B164">
        <f>'Editing Page'!B171</f>
        <v>0</v>
      </c>
      <c r="C164" t="s">
        <v>1479</v>
      </c>
      <c r="D164" t="s">
        <v>1113</v>
      </c>
      <c r="G164" t="s">
        <v>1608</v>
      </c>
      <c r="J164">
        <v>0</v>
      </c>
      <c r="K164" t="s">
        <v>1658</v>
      </c>
      <c r="L164" t="s">
        <v>1528</v>
      </c>
      <c r="M164">
        <v>0</v>
      </c>
      <c r="N164">
        <v>0</v>
      </c>
      <c r="O164">
        <v>1</v>
      </c>
      <c r="U164" t="s">
        <v>1658</v>
      </c>
    </row>
    <row r="165" spans="1:21" x14ac:dyDescent="0.25">
      <c r="A165">
        <v>164</v>
      </c>
      <c r="B165">
        <f>'Editing Page'!B172</f>
        <v>0</v>
      </c>
      <c r="D165" t="s">
        <v>1114</v>
      </c>
      <c r="G165" t="s">
        <v>1608</v>
      </c>
      <c r="J165">
        <v>0</v>
      </c>
      <c r="K165" t="s">
        <v>1659</v>
      </c>
      <c r="L165" t="s">
        <v>1521</v>
      </c>
      <c r="M165">
        <v>1</v>
      </c>
      <c r="N165">
        <v>0</v>
      </c>
      <c r="O165">
        <v>0</v>
      </c>
      <c r="Q165" t="s">
        <v>1659</v>
      </c>
    </row>
    <row r="166" spans="1:21" x14ac:dyDescent="0.25">
      <c r="A166">
        <v>165</v>
      </c>
      <c r="B166">
        <f>'Editing Page'!B173</f>
        <v>0</v>
      </c>
      <c r="C166" t="s">
        <v>1481</v>
      </c>
      <c r="D166" t="s">
        <v>1115</v>
      </c>
      <c r="H166" t="s">
        <v>1609</v>
      </c>
      <c r="J166">
        <v>0</v>
      </c>
      <c r="K166" t="s">
        <v>1660</v>
      </c>
      <c r="L166" t="s">
        <v>1528</v>
      </c>
      <c r="M166">
        <v>0</v>
      </c>
      <c r="N166">
        <v>0</v>
      </c>
      <c r="O166">
        <v>1</v>
      </c>
      <c r="U166" t="s">
        <v>1660</v>
      </c>
    </row>
    <row r="167" spans="1:21" x14ac:dyDescent="0.25">
      <c r="A167">
        <v>166</v>
      </c>
      <c r="B167">
        <f>'Editing Page'!B174</f>
        <v>0.2</v>
      </c>
      <c r="C167" t="s">
        <v>1481</v>
      </c>
      <c r="D167" t="s">
        <v>1116</v>
      </c>
      <c r="J167">
        <v>0</v>
      </c>
      <c r="K167" t="s">
        <v>1474</v>
      </c>
      <c r="L167" t="s">
        <v>1528</v>
      </c>
      <c r="M167">
        <v>0</v>
      </c>
      <c r="N167">
        <v>0</v>
      </c>
      <c r="O167">
        <v>1</v>
      </c>
      <c r="U167" t="s">
        <v>1474</v>
      </c>
    </row>
    <row r="168" spans="1:21" x14ac:dyDescent="0.25">
      <c r="A168">
        <v>167</v>
      </c>
      <c r="B168">
        <f>'Editing Page'!B175</f>
        <v>5</v>
      </c>
      <c r="D168" t="s">
        <v>1661</v>
      </c>
      <c r="J168">
        <v>0</v>
      </c>
      <c r="K168" t="s">
        <v>1475</v>
      </c>
      <c r="L168" t="s">
        <v>1525</v>
      </c>
      <c r="M168">
        <v>0</v>
      </c>
      <c r="N168">
        <v>1</v>
      </c>
      <c r="O168">
        <v>0</v>
      </c>
      <c r="S168" t="s">
        <v>1475</v>
      </c>
    </row>
    <row r="169" spans="1:21" x14ac:dyDescent="0.25">
      <c r="A169">
        <v>168</v>
      </c>
      <c r="B169">
        <f>'Editing Page'!B176</f>
        <v>1.25</v>
      </c>
      <c r="C169" t="s">
        <v>1481</v>
      </c>
      <c r="D169" t="s">
        <v>1117</v>
      </c>
      <c r="J169">
        <v>0</v>
      </c>
      <c r="K169" t="s">
        <v>1662</v>
      </c>
      <c r="L169" t="s">
        <v>1528</v>
      </c>
      <c r="M169">
        <v>0</v>
      </c>
      <c r="N169">
        <v>0</v>
      </c>
      <c r="O169">
        <v>1</v>
      </c>
      <c r="U169" t="s">
        <v>1662</v>
      </c>
    </row>
    <row r="170" spans="1:21" x14ac:dyDescent="0.25">
      <c r="A170">
        <v>169</v>
      </c>
      <c r="B170">
        <f>'Editing Page'!B177</f>
        <v>1</v>
      </c>
      <c r="C170" t="s">
        <v>1481</v>
      </c>
      <c r="D170" t="s">
        <v>1118</v>
      </c>
      <c r="J170">
        <v>0</v>
      </c>
      <c r="K170" t="s">
        <v>1663</v>
      </c>
      <c r="L170" t="s">
        <v>1528</v>
      </c>
      <c r="M170">
        <v>0</v>
      </c>
      <c r="N170">
        <v>0</v>
      </c>
      <c r="O170">
        <v>1</v>
      </c>
      <c r="U170" t="s">
        <v>1663</v>
      </c>
    </row>
    <row r="171" spans="1:21" x14ac:dyDescent="0.25">
      <c r="A171">
        <v>170</v>
      </c>
      <c r="B171">
        <f>'Editing Page'!B178</f>
        <v>0.75</v>
      </c>
      <c r="C171" t="s">
        <v>1481</v>
      </c>
      <c r="D171" t="s">
        <v>1119</v>
      </c>
      <c r="J171">
        <v>0</v>
      </c>
      <c r="K171" t="s">
        <v>1664</v>
      </c>
      <c r="L171" t="s">
        <v>1528</v>
      </c>
      <c r="M171">
        <v>0</v>
      </c>
      <c r="N171">
        <v>0</v>
      </c>
      <c r="O171">
        <v>1</v>
      </c>
      <c r="U171" t="s">
        <v>1664</v>
      </c>
    </row>
    <row r="172" spans="1:21" x14ac:dyDescent="0.25">
      <c r="A172">
        <v>171</v>
      </c>
      <c r="B172">
        <f>'Editing Page'!B179</f>
        <v>0.5</v>
      </c>
      <c r="C172" t="s">
        <v>1481</v>
      </c>
      <c r="D172" t="s">
        <v>1120</v>
      </c>
      <c r="J172">
        <v>0</v>
      </c>
      <c r="K172" t="s">
        <v>1665</v>
      </c>
      <c r="L172" t="s">
        <v>1528</v>
      </c>
      <c r="M172">
        <v>0</v>
      </c>
      <c r="N172">
        <v>0</v>
      </c>
      <c r="O172">
        <v>1</v>
      </c>
      <c r="U172" t="s">
        <v>1665</v>
      </c>
    </row>
    <row r="173" spans="1:21" x14ac:dyDescent="0.25">
      <c r="A173">
        <v>172</v>
      </c>
      <c r="B173">
        <f>'Editing Page'!B180</f>
        <v>0.25</v>
      </c>
      <c r="C173" t="s">
        <v>1481</v>
      </c>
      <c r="D173" t="s">
        <v>1121</v>
      </c>
      <c r="J173">
        <v>0</v>
      </c>
      <c r="K173" t="s">
        <v>1666</v>
      </c>
      <c r="L173" t="s">
        <v>1528</v>
      </c>
      <c r="M173">
        <v>0</v>
      </c>
      <c r="N173">
        <v>0</v>
      </c>
      <c r="O173">
        <v>1</v>
      </c>
      <c r="U173" t="s">
        <v>1666</v>
      </c>
    </row>
    <row r="174" spans="1:21" x14ac:dyDescent="0.25">
      <c r="A174">
        <v>173</v>
      </c>
      <c r="B174">
        <f>'Editing Page'!B181</f>
        <v>3</v>
      </c>
      <c r="D174" t="s">
        <v>1122</v>
      </c>
      <c r="J174">
        <v>0</v>
      </c>
      <c r="K174" t="s">
        <v>1667</v>
      </c>
      <c r="L174" t="s">
        <v>1525</v>
      </c>
      <c r="M174">
        <v>0</v>
      </c>
      <c r="N174">
        <v>1</v>
      </c>
      <c r="O174">
        <v>0</v>
      </c>
      <c r="S174" t="s">
        <v>1667</v>
      </c>
    </row>
    <row r="175" spans="1:21" x14ac:dyDescent="0.25">
      <c r="A175">
        <v>174</v>
      </c>
      <c r="B175">
        <f>'Editing Page'!B182</f>
        <v>1</v>
      </c>
      <c r="C175" t="s">
        <v>1481</v>
      </c>
      <c r="D175" t="s">
        <v>1123</v>
      </c>
      <c r="J175">
        <v>0</v>
      </c>
      <c r="K175" t="s">
        <v>1668</v>
      </c>
      <c r="L175" t="s">
        <v>1528</v>
      </c>
      <c r="M175">
        <v>0</v>
      </c>
      <c r="N175">
        <v>0</v>
      </c>
      <c r="O175">
        <v>1</v>
      </c>
      <c r="U175" t="s">
        <v>1668</v>
      </c>
    </row>
    <row r="176" spans="1:21" x14ac:dyDescent="0.25">
      <c r="A176">
        <v>175</v>
      </c>
      <c r="B176">
        <f>'Editing Page'!B183</f>
        <v>0.8</v>
      </c>
      <c r="C176" t="s">
        <v>1481</v>
      </c>
      <c r="D176" t="s">
        <v>1124</v>
      </c>
      <c r="J176">
        <v>0</v>
      </c>
      <c r="K176" t="s">
        <v>1669</v>
      </c>
      <c r="L176" t="s">
        <v>1528</v>
      </c>
      <c r="M176">
        <v>0</v>
      </c>
      <c r="N176">
        <v>0</v>
      </c>
      <c r="O176">
        <v>1</v>
      </c>
      <c r="U176" t="s">
        <v>1669</v>
      </c>
    </row>
    <row r="177" spans="1:21" x14ac:dyDescent="0.25">
      <c r="A177">
        <v>176</v>
      </c>
      <c r="B177">
        <f>'Editing Page'!B184</f>
        <v>0.7</v>
      </c>
      <c r="C177" t="s">
        <v>1481</v>
      </c>
      <c r="D177" t="s">
        <v>1125</v>
      </c>
      <c r="J177">
        <v>0</v>
      </c>
      <c r="K177" t="s">
        <v>1670</v>
      </c>
      <c r="L177" t="s">
        <v>1528</v>
      </c>
      <c r="M177">
        <v>0</v>
      </c>
      <c r="N177">
        <v>0</v>
      </c>
      <c r="O177">
        <v>1</v>
      </c>
      <c r="U177" t="s">
        <v>1670</v>
      </c>
    </row>
    <row r="178" spans="1:21" x14ac:dyDescent="0.25">
      <c r="A178">
        <v>177</v>
      </c>
      <c r="B178">
        <f>'Editing Page'!B185</f>
        <v>9.9999999999999995E-7</v>
      </c>
      <c r="C178" t="s">
        <v>1481</v>
      </c>
      <c r="D178" t="s">
        <v>1126</v>
      </c>
      <c r="J178">
        <v>0</v>
      </c>
      <c r="K178" t="s">
        <v>1671</v>
      </c>
      <c r="L178" t="s">
        <v>1528</v>
      </c>
      <c r="M178">
        <v>0</v>
      </c>
      <c r="N178">
        <v>0</v>
      </c>
      <c r="O178">
        <v>1</v>
      </c>
      <c r="U178" t="s">
        <v>1671</v>
      </c>
    </row>
    <row r="179" spans="1:21" x14ac:dyDescent="0.25">
      <c r="A179">
        <v>178</v>
      </c>
      <c r="B179">
        <f>'Editing Page'!B186</f>
        <v>9.9999999999999995E-7</v>
      </c>
      <c r="C179" t="s">
        <v>1481</v>
      </c>
      <c r="D179" t="s">
        <v>1127</v>
      </c>
      <c r="J179">
        <v>0</v>
      </c>
      <c r="K179" t="s">
        <v>1672</v>
      </c>
      <c r="L179" t="s">
        <v>1528</v>
      </c>
      <c r="M179">
        <v>0</v>
      </c>
      <c r="N179">
        <v>0</v>
      </c>
      <c r="O179">
        <v>1</v>
      </c>
      <c r="U179" t="s">
        <v>1672</v>
      </c>
    </row>
    <row r="180" spans="1:21" x14ac:dyDescent="0.25">
      <c r="A180">
        <v>179</v>
      </c>
      <c r="B180">
        <f>'Editing Page'!B187</f>
        <v>9.9999999999999995E-7</v>
      </c>
      <c r="C180" t="s">
        <v>1481</v>
      </c>
      <c r="D180" t="s">
        <v>1128</v>
      </c>
      <c r="J180">
        <v>0</v>
      </c>
      <c r="K180" t="s">
        <v>1673</v>
      </c>
      <c r="L180" t="s">
        <v>1528</v>
      </c>
      <c r="M180">
        <v>0</v>
      </c>
      <c r="N180">
        <v>0</v>
      </c>
      <c r="O180">
        <v>1</v>
      </c>
      <c r="U180" t="s">
        <v>1673</v>
      </c>
    </row>
    <row r="181" spans="1:21" x14ac:dyDescent="0.25">
      <c r="A181">
        <v>180</v>
      </c>
      <c r="B181">
        <f>'Editing Page'!B188</f>
        <v>1</v>
      </c>
      <c r="D181" t="s">
        <v>1208</v>
      </c>
      <c r="J181">
        <v>0</v>
      </c>
      <c r="K181" t="s">
        <v>1674</v>
      </c>
      <c r="L181" t="s">
        <v>1525</v>
      </c>
      <c r="M181">
        <v>0</v>
      </c>
      <c r="N181">
        <v>1</v>
      </c>
      <c r="O181">
        <v>0</v>
      </c>
      <c r="S181" t="s">
        <v>1674</v>
      </c>
    </row>
    <row r="182" spans="1:21" x14ac:dyDescent="0.25">
      <c r="A182">
        <v>181</v>
      </c>
      <c r="B182">
        <f>'Editing Page'!B189</f>
        <v>0.90000000099999999</v>
      </c>
      <c r="C182" t="s">
        <v>1481</v>
      </c>
      <c r="D182" t="s">
        <v>1129</v>
      </c>
      <c r="J182">
        <v>0</v>
      </c>
      <c r="K182" t="s">
        <v>1675</v>
      </c>
      <c r="L182" t="s">
        <v>1528</v>
      </c>
      <c r="M182">
        <v>0</v>
      </c>
      <c r="N182">
        <v>0</v>
      </c>
      <c r="O182">
        <v>1</v>
      </c>
      <c r="U182" t="s">
        <v>1675</v>
      </c>
    </row>
    <row r="183" spans="1:21" x14ac:dyDescent="0.25">
      <c r="A183">
        <v>182</v>
      </c>
      <c r="B183">
        <f>'Editing Page'!B190</f>
        <v>50</v>
      </c>
      <c r="C183" t="s">
        <v>1488</v>
      </c>
      <c r="D183" t="s">
        <v>1130</v>
      </c>
      <c r="J183">
        <v>0</v>
      </c>
      <c r="K183" t="s">
        <v>1676</v>
      </c>
      <c r="L183" t="s">
        <v>1528</v>
      </c>
      <c r="M183">
        <v>0</v>
      </c>
      <c r="N183">
        <v>0</v>
      </c>
      <c r="O183">
        <v>1</v>
      </c>
      <c r="U183" t="s">
        <v>1676</v>
      </c>
    </row>
    <row r="184" spans="1:21" x14ac:dyDescent="0.25">
      <c r="A184">
        <v>183</v>
      </c>
      <c r="B184">
        <f>'Editing Page'!B191</f>
        <v>0.15</v>
      </c>
      <c r="C184" t="s">
        <v>1481</v>
      </c>
      <c r="D184" t="s">
        <v>1131</v>
      </c>
      <c r="J184">
        <v>0</v>
      </c>
      <c r="K184" t="s">
        <v>1677</v>
      </c>
      <c r="L184" t="s">
        <v>1528</v>
      </c>
      <c r="M184">
        <v>0</v>
      </c>
      <c r="N184">
        <v>0</v>
      </c>
      <c r="O184">
        <v>1</v>
      </c>
      <c r="U184" t="s">
        <v>1677</v>
      </c>
    </row>
    <row r="185" spans="1:21" x14ac:dyDescent="0.25">
      <c r="A185">
        <v>184</v>
      </c>
      <c r="B185">
        <f>'Editing Page'!B192</f>
        <v>0.02</v>
      </c>
      <c r="C185" t="s">
        <v>1481</v>
      </c>
      <c r="D185" t="s">
        <v>1132</v>
      </c>
      <c r="J185">
        <v>0</v>
      </c>
      <c r="K185" t="s">
        <v>1678</v>
      </c>
      <c r="L185" t="s">
        <v>1528</v>
      </c>
      <c r="M185">
        <v>0</v>
      </c>
      <c r="N185">
        <v>0</v>
      </c>
      <c r="O185">
        <v>1</v>
      </c>
      <c r="U185" t="s">
        <v>1678</v>
      </c>
    </row>
    <row r="186" spans="1:21" x14ac:dyDescent="0.25">
      <c r="A186">
        <v>185</v>
      </c>
      <c r="B186">
        <f>'Editing Page'!B193</f>
        <v>9.1827360000000004E-3</v>
      </c>
      <c r="C186" t="s">
        <v>1481</v>
      </c>
      <c r="D186" t="s">
        <v>1133</v>
      </c>
      <c r="E186">
        <v>0.1</v>
      </c>
      <c r="J186">
        <v>0</v>
      </c>
      <c r="K186" t="s">
        <v>1679</v>
      </c>
      <c r="L186" t="s">
        <v>1528</v>
      </c>
      <c r="M186">
        <v>0</v>
      </c>
      <c r="N186">
        <v>0</v>
      </c>
      <c r="O186">
        <v>1</v>
      </c>
      <c r="U186" t="s">
        <v>1679</v>
      </c>
    </row>
    <row r="187" spans="1:21" x14ac:dyDescent="0.25">
      <c r="A187">
        <v>186</v>
      </c>
      <c r="B187">
        <f>'Editing Page'!B194</f>
        <v>3.6730946E-2</v>
      </c>
      <c r="C187" t="s">
        <v>1481</v>
      </c>
      <c r="D187" t="s">
        <v>1134</v>
      </c>
      <c r="E187">
        <v>0.2</v>
      </c>
      <c r="J187">
        <v>0</v>
      </c>
      <c r="K187" t="s">
        <v>1680</v>
      </c>
      <c r="L187" t="s">
        <v>1528</v>
      </c>
      <c r="M187">
        <v>0</v>
      </c>
      <c r="N187">
        <v>0</v>
      </c>
      <c r="O187">
        <v>1</v>
      </c>
      <c r="U187" t="s">
        <v>1680</v>
      </c>
    </row>
    <row r="188" spans="1:21" x14ac:dyDescent="0.25">
      <c r="A188">
        <v>187</v>
      </c>
      <c r="B188">
        <f>'Editing Page'!B195</f>
        <v>8.2644627999999998E-2</v>
      </c>
      <c r="C188" t="s">
        <v>1481</v>
      </c>
      <c r="D188" t="s">
        <v>1135</v>
      </c>
      <c r="E188">
        <v>0.3</v>
      </c>
      <c r="J188">
        <v>0</v>
      </c>
      <c r="K188" t="s">
        <v>1681</v>
      </c>
      <c r="L188" t="s">
        <v>1528</v>
      </c>
      <c r="M188">
        <v>0</v>
      </c>
      <c r="N188">
        <v>0</v>
      </c>
      <c r="O188">
        <v>1</v>
      </c>
      <c r="U188" t="s">
        <v>1681</v>
      </c>
    </row>
    <row r="189" spans="1:21" x14ac:dyDescent="0.25">
      <c r="A189">
        <v>188</v>
      </c>
      <c r="B189">
        <f>'Editing Page'!B196</f>
        <v>0.146923783</v>
      </c>
      <c r="C189" t="s">
        <v>1481</v>
      </c>
      <c r="D189" t="s">
        <v>1136</v>
      </c>
      <c r="E189">
        <v>0.4</v>
      </c>
      <c r="J189">
        <v>0</v>
      </c>
      <c r="K189" t="s">
        <v>1682</v>
      </c>
      <c r="L189" t="s">
        <v>1528</v>
      </c>
      <c r="M189">
        <v>0</v>
      </c>
      <c r="N189">
        <v>0</v>
      </c>
      <c r="O189">
        <v>1</v>
      </c>
      <c r="U189" t="s">
        <v>1682</v>
      </c>
    </row>
    <row r="190" spans="1:21" x14ac:dyDescent="0.25">
      <c r="A190">
        <v>189</v>
      </c>
      <c r="B190">
        <f>'Editing Page'!B197</f>
        <v>0.229568412</v>
      </c>
      <c r="C190" t="s">
        <v>1481</v>
      </c>
      <c r="D190" t="s">
        <v>1137</v>
      </c>
      <c r="E190">
        <v>0.5</v>
      </c>
      <c r="J190">
        <v>0</v>
      </c>
      <c r="K190" t="s">
        <v>1683</v>
      </c>
      <c r="L190" t="s">
        <v>1528</v>
      </c>
      <c r="M190">
        <v>0</v>
      </c>
      <c r="N190">
        <v>0</v>
      </c>
      <c r="O190">
        <v>1</v>
      </c>
      <c r="U190" t="s">
        <v>1683</v>
      </c>
    </row>
    <row r="191" spans="1:21" x14ac:dyDescent="0.25">
      <c r="A191">
        <v>190</v>
      </c>
      <c r="B191">
        <f>'Editing Page'!B198</f>
        <v>0.33057851300000002</v>
      </c>
      <c r="C191" t="s">
        <v>1481</v>
      </c>
      <c r="D191" t="s">
        <v>1138</v>
      </c>
      <c r="E191">
        <v>0.6</v>
      </c>
      <c r="J191">
        <v>0</v>
      </c>
      <c r="K191" t="s">
        <v>1684</v>
      </c>
      <c r="L191" t="s">
        <v>1528</v>
      </c>
      <c r="M191">
        <v>0</v>
      </c>
      <c r="N191">
        <v>0</v>
      </c>
      <c r="O191">
        <v>1</v>
      </c>
      <c r="U191" t="s">
        <v>1684</v>
      </c>
    </row>
    <row r="192" spans="1:21" x14ac:dyDescent="0.25">
      <c r="A192">
        <v>191</v>
      </c>
      <c r="B192">
        <f>'Editing Page'!B199</f>
        <v>0.449954087</v>
      </c>
      <c r="C192" t="s">
        <v>1481</v>
      </c>
      <c r="D192" t="s">
        <v>1139</v>
      </c>
      <c r="E192">
        <v>0.7</v>
      </c>
      <c r="J192">
        <v>0</v>
      </c>
      <c r="K192" t="s">
        <v>1685</v>
      </c>
      <c r="L192" t="s">
        <v>1528</v>
      </c>
      <c r="M192">
        <v>0</v>
      </c>
      <c r="N192">
        <v>0</v>
      </c>
      <c r="O192">
        <v>1</v>
      </c>
      <c r="U192" t="s">
        <v>1685</v>
      </c>
    </row>
    <row r="193" spans="1:21" x14ac:dyDescent="0.25">
      <c r="A193">
        <v>192</v>
      </c>
      <c r="B193">
        <f>'Editing Page'!B200</f>
        <v>0.58769513399999995</v>
      </c>
      <c r="C193" t="s">
        <v>1481</v>
      </c>
      <c r="D193" t="s">
        <v>1140</v>
      </c>
      <c r="E193">
        <v>0.8</v>
      </c>
      <c r="J193">
        <v>0</v>
      </c>
      <c r="K193" t="s">
        <v>1686</v>
      </c>
      <c r="L193" t="s">
        <v>1528</v>
      </c>
      <c r="M193">
        <v>0</v>
      </c>
      <c r="N193">
        <v>0</v>
      </c>
      <c r="O193">
        <v>1</v>
      </c>
      <c r="U193" t="s">
        <v>1686</v>
      </c>
    </row>
    <row r="194" spans="1:21" x14ac:dyDescent="0.25">
      <c r="A194">
        <v>193</v>
      </c>
      <c r="B194">
        <f>'Editing Page'!B201</f>
        <v>0.74380165399999998</v>
      </c>
      <c r="C194" t="s">
        <v>1481</v>
      </c>
      <c r="D194" t="s">
        <v>1141</v>
      </c>
      <c r="E194">
        <v>0.9</v>
      </c>
      <c r="J194">
        <v>0</v>
      </c>
      <c r="K194" t="s">
        <v>1687</v>
      </c>
      <c r="L194" t="s">
        <v>1528</v>
      </c>
      <c r="M194">
        <v>0</v>
      </c>
      <c r="N194">
        <v>0</v>
      </c>
      <c r="O194">
        <v>1</v>
      </c>
      <c r="U194" t="s">
        <v>1687</v>
      </c>
    </row>
    <row r="195" spans="1:21" x14ac:dyDescent="0.25">
      <c r="A195">
        <v>194</v>
      </c>
      <c r="B195">
        <f>'Editing Page'!B202</f>
        <v>0.82874196600000005</v>
      </c>
      <c r="C195" t="s">
        <v>1481</v>
      </c>
      <c r="D195" t="s">
        <v>1142</v>
      </c>
      <c r="E195">
        <v>0.95</v>
      </c>
      <c r="J195">
        <v>0</v>
      </c>
      <c r="K195" t="s">
        <v>1688</v>
      </c>
      <c r="L195" t="s">
        <v>1528</v>
      </c>
      <c r="M195">
        <v>0</v>
      </c>
      <c r="N195">
        <v>0</v>
      </c>
      <c r="O195">
        <v>1</v>
      </c>
      <c r="U195" t="s">
        <v>1688</v>
      </c>
    </row>
    <row r="196" spans="1:21" x14ac:dyDescent="0.25">
      <c r="A196">
        <v>195</v>
      </c>
      <c r="B196">
        <f>'Editing Page'!B203</f>
        <v>0.90000000099999999</v>
      </c>
      <c r="C196" t="s">
        <v>1481</v>
      </c>
      <c r="D196" t="s">
        <v>1689</v>
      </c>
      <c r="E196">
        <v>0.99</v>
      </c>
      <c r="J196">
        <v>0</v>
      </c>
      <c r="K196" t="s">
        <v>1690</v>
      </c>
      <c r="L196" t="s">
        <v>1528</v>
      </c>
      <c r="M196">
        <v>0</v>
      </c>
      <c r="N196">
        <v>0</v>
      </c>
      <c r="O196">
        <v>1</v>
      </c>
      <c r="U196" t="s">
        <v>1690</v>
      </c>
    </row>
    <row r="197" spans="1:21" x14ac:dyDescent="0.25">
      <c r="A197">
        <v>196</v>
      </c>
      <c r="B197">
        <f>'Editing Page'!B204</f>
        <v>1</v>
      </c>
      <c r="D197" t="s">
        <v>1691</v>
      </c>
      <c r="J197">
        <v>0</v>
      </c>
      <c r="K197" t="s">
        <v>1692</v>
      </c>
      <c r="L197" t="s">
        <v>1525</v>
      </c>
      <c r="M197">
        <v>0</v>
      </c>
      <c r="N197">
        <v>1</v>
      </c>
      <c r="O197">
        <v>0</v>
      </c>
      <c r="S197" t="s">
        <v>1692</v>
      </c>
    </row>
    <row r="198" spans="1:21" x14ac:dyDescent="0.25">
      <c r="A198">
        <v>197</v>
      </c>
      <c r="B198">
        <f>'Editing Page'!B205</f>
        <v>14.8</v>
      </c>
      <c r="C198" t="s">
        <v>1476</v>
      </c>
      <c r="D198" t="s">
        <v>1693</v>
      </c>
    </row>
    <row r="199" spans="1:21" x14ac:dyDescent="0.25">
      <c r="A199">
        <v>198</v>
      </c>
      <c r="B199">
        <f>'Editing Page'!B206</f>
        <v>200</v>
      </c>
      <c r="D199" t="s">
        <v>1143</v>
      </c>
      <c r="J199">
        <v>0</v>
      </c>
      <c r="K199" t="s">
        <v>1694</v>
      </c>
      <c r="L199" t="s">
        <v>1528</v>
      </c>
      <c r="M199">
        <v>0</v>
      </c>
      <c r="N199">
        <v>0</v>
      </c>
      <c r="O199">
        <v>1</v>
      </c>
      <c r="U199" t="s">
        <v>1694</v>
      </c>
    </row>
    <row r="200" spans="1:21" x14ac:dyDescent="0.25">
      <c r="A200">
        <v>199</v>
      </c>
      <c r="B200">
        <f>'Editing Page'!B207</f>
        <v>20</v>
      </c>
      <c r="D200" t="s">
        <v>1144</v>
      </c>
      <c r="J200">
        <v>0</v>
      </c>
      <c r="K200" t="s">
        <v>1695</v>
      </c>
      <c r="L200" t="s">
        <v>1528</v>
      </c>
      <c r="M200">
        <v>0</v>
      </c>
      <c r="N200">
        <v>0</v>
      </c>
      <c r="O200">
        <v>1</v>
      </c>
      <c r="U200" t="s">
        <v>1695</v>
      </c>
    </row>
    <row r="201" spans="1:21" x14ac:dyDescent="0.25">
      <c r="A201">
        <v>200</v>
      </c>
      <c r="B201">
        <f>'Editing Page'!B208</f>
        <v>40</v>
      </c>
      <c r="C201" t="s">
        <v>1479</v>
      </c>
      <c r="D201" t="s">
        <v>1696</v>
      </c>
    </row>
    <row r="202" spans="1:21" x14ac:dyDescent="0.25">
      <c r="A202">
        <v>201</v>
      </c>
      <c r="B202" t="str">
        <f>'Editing Page'!B209</f>
        <v>Steel</v>
      </c>
      <c r="D202" t="s">
        <v>1146</v>
      </c>
      <c r="J202">
        <v>0</v>
      </c>
      <c r="K202" t="s">
        <v>1697</v>
      </c>
      <c r="L202" t="s">
        <v>1521</v>
      </c>
      <c r="M202">
        <v>1</v>
      </c>
      <c r="N202">
        <v>0</v>
      </c>
      <c r="O202">
        <v>0</v>
      </c>
      <c r="Q202" t="s">
        <v>1697</v>
      </c>
    </row>
    <row r="203" spans="1:21" x14ac:dyDescent="0.25">
      <c r="A203">
        <v>202</v>
      </c>
      <c r="B203">
        <f>'Editing Page'!B210</f>
        <v>1.1499999999999999</v>
      </c>
      <c r="C203" t="s">
        <v>1481</v>
      </c>
      <c r="D203" t="s">
        <v>1698</v>
      </c>
      <c r="J203">
        <v>0</v>
      </c>
      <c r="K203" t="s">
        <v>1699</v>
      </c>
      <c r="L203" t="s">
        <v>1528</v>
      </c>
      <c r="M203">
        <v>0</v>
      </c>
      <c r="N203">
        <v>0</v>
      </c>
      <c r="O203">
        <v>1</v>
      </c>
      <c r="U203" t="s">
        <v>1699</v>
      </c>
    </row>
    <row r="204" spans="1:21" x14ac:dyDescent="0.25">
      <c r="A204">
        <v>203</v>
      </c>
      <c r="B204">
        <f>'Editing Page'!B211</f>
        <v>1.6</v>
      </c>
      <c r="C204" t="s">
        <v>1476</v>
      </c>
      <c r="D204" t="s">
        <v>1147</v>
      </c>
      <c r="J204">
        <v>0</v>
      </c>
      <c r="K204" t="s">
        <v>1700</v>
      </c>
      <c r="L204" t="s">
        <v>1528</v>
      </c>
      <c r="M204">
        <v>0</v>
      </c>
      <c r="N204">
        <v>0</v>
      </c>
      <c r="O204">
        <v>1</v>
      </c>
      <c r="U204" t="s">
        <v>1700</v>
      </c>
    </row>
    <row r="205" spans="1:21" x14ac:dyDescent="0.25">
      <c r="A205">
        <v>204</v>
      </c>
      <c r="B205">
        <f>'Editing Page'!B212</f>
        <v>0</v>
      </c>
      <c r="D205" t="s">
        <v>1211</v>
      </c>
      <c r="J205">
        <v>0</v>
      </c>
      <c r="K205" t="s">
        <v>1701</v>
      </c>
      <c r="L205" t="s">
        <v>1525</v>
      </c>
      <c r="M205">
        <v>0</v>
      </c>
      <c r="N205">
        <v>1</v>
      </c>
      <c r="O205">
        <v>0</v>
      </c>
      <c r="S205" t="s">
        <v>1701</v>
      </c>
    </row>
    <row r="206" spans="1:21" x14ac:dyDescent="0.25">
      <c r="A206">
        <v>205</v>
      </c>
      <c r="B206">
        <f>'Editing Page'!B213</f>
        <v>1</v>
      </c>
      <c r="D206" t="s">
        <v>1148</v>
      </c>
      <c r="J206">
        <v>0</v>
      </c>
      <c r="K206" t="s">
        <v>1702</v>
      </c>
      <c r="L206" t="s">
        <v>1525</v>
      </c>
      <c r="M206">
        <v>0</v>
      </c>
      <c r="N206">
        <v>1</v>
      </c>
      <c r="O206">
        <v>0</v>
      </c>
      <c r="S206" t="s">
        <v>1702</v>
      </c>
    </row>
    <row r="207" spans="1:21" x14ac:dyDescent="0.25">
      <c r="A207">
        <v>206</v>
      </c>
      <c r="B207">
        <f>'Editing Page'!B214</f>
        <v>1.02</v>
      </c>
      <c r="C207" t="s">
        <v>1489</v>
      </c>
      <c r="D207" t="s">
        <v>1149</v>
      </c>
      <c r="J207">
        <v>0</v>
      </c>
      <c r="K207" t="s">
        <v>1703</v>
      </c>
      <c r="L207" t="s">
        <v>1528</v>
      </c>
      <c r="M207">
        <v>0</v>
      </c>
      <c r="N207">
        <v>0</v>
      </c>
      <c r="O207">
        <v>1</v>
      </c>
      <c r="U207" t="s">
        <v>1703</v>
      </c>
    </row>
    <row r="208" spans="1:21" x14ac:dyDescent="0.25">
      <c r="A208">
        <v>207</v>
      </c>
      <c r="B208">
        <f>'Editing Page'!B215</f>
        <v>1</v>
      </c>
      <c r="D208" t="s">
        <v>1150</v>
      </c>
      <c r="J208">
        <v>0</v>
      </c>
      <c r="K208" t="s">
        <v>1704</v>
      </c>
      <c r="L208" t="s">
        <v>1525</v>
      </c>
      <c r="M208">
        <v>0</v>
      </c>
      <c r="N208">
        <v>1</v>
      </c>
      <c r="O208">
        <v>0</v>
      </c>
      <c r="S208" t="s">
        <v>1704</v>
      </c>
    </row>
    <row r="209" spans="1:21" x14ac:dyDescent="0.25">
      <c r="A209">
        <v>208</v>
      </c>
      <c r="B209">
        <f>'Editing Page'!B216</f>
        <v>825</v>
      </c>
      <c r="C209" t="s">
        <v>1479</v>
      </c>
      <c r="D209" t="s">
        <v>1151</v>
      </c>
      <c r="J209">
        <v>0</v>
      </c>
      <c r="K209" t="s">
        <v>1705</v>
      </c>
      <c r="L209" t="s">
        <v>1528</v>
      </c>
      <c r="M209">
        <v>0</v>
      </c>
      <c r="N209">
        <v>0</v>
      </c>
      <c r="O209">
        <v>1</v>
      </c>
      <c r="U209" t="s">
        <v>1705</v>
      </c>
    </row>
    <row r="210" spans="1:21" x14ac:dyDescent="0.25">
      <c r="A210">
        <v>209</v>
      </c>
      <c r="B210">
        <f>'Editing Page'!B217</f>
        <v>0.52</v>
      </c>
      <c r="C210" t="s">
        <v>1479</v>
      </c>
      <c r="D210" t="s">
        <v>1152</v>
      </c>
      <c r="J210">
        <v>0</v>
      </c>
      <c r="K210" t="s">
        <v>1706</v>
      </c>
      <c r="L210" t="s">
        <v>1528</v>
      </c>
      <c r="M210">
        <v>0</v>
      </c>
      <c r="N210">
        <v>0</v>
      </c>
      <c r="O210">
        <v>1</v>
      </c>
      <c r="U210" t="s">
        <v>1706</v>
      </c>
    </row>
    <row r="211" spans="1:21" x14ac:dyDescent="0.25">
      <c r="A211">
        <v>210</v>
      </c>
      <c r="B211">
        <f>'Editing Page'!B218</f>
        <v>0.5</v>
      </c>
      <c r="C211" t="s">
        <v>1479</v>
      </c>
      <c r="D211" t="s">
        <v>1153</v>
      </c>
      <c r="J211">
        <v>0</v>
      </c>
      <c r="K211" t="s">
        <v>1707</v>
      </c>
      <c r="L211" t="s">
        <v>1528</v>
      </c>
      <c r="M211">
        <v>0</v>
      </c>
      <c r="N211">
        <v>0</v>
      </c>
      <c r="O211">
        <v>1</v>
      </c>
      <c r="U211" t="s">
        <v>1707</v>
      </c>
    </row>
    <row r="212" spans="1:21" x14ac:dyDescent="0.25">
      <c r="A212">
        <v>211</v>
      </c>
      <c r="B212">
        <f>'Editing Page'!B219</f>
        <v>0.37</v>
      </c>
      <c r="C212" t="s">
        <v>1479</v>
      </c>
      <c r="D212" t="s">
        <v>1154</v>
      </c>
      <c r="J212">
        <v>0</v>
      </c>
      <c r="K212" t="s">
        <v>1708</v>
      </c>
      <c r="L212" t="s">
        <v>1528</v>
      </c>
      <c r="M212">
        <v>0</v>
      </c>
      <c r="N212">
        <v>0</v>
      </c>
      <c r="O212">
        <v>1</v>
      </c>
      <c r="U212" t="s">
        <v>1708</v>
      </c>
    </row>
    <row r="213" spans="1:21" x14ac:dyDescent="0.25">
      <c r="A213">
        <v>212</v>
      </c>
      <c r="B213">
        <f>'Editing Page'!B220</f>
        <v>0</v>
      </c>
      <c r="C213" t="s">
        <v>1479</v>
      </c>
      <c r="D213" t="s">
        <v>1155</v>
      </c>
      <c r="J213">
        <v>0</v>
      </c>
      <c r="K213" t="s">
        <v>1709</v>
      </c>
      <c r="L213" t="s">
        <v>1528</v>
      </c>
      <c r="M213">
        <v>0</v>
      </c>
      <c r="N213">
        <v>0</v>
      </c>
      <c r="O213">
        <v>1</v>
      </c>
      <c r="U213" t="s">
        <v>1709</v>
      </c>
    </row>
    <row r="214" spans="1:21" x14ac:dyDescent="0.25">
      <c r="A214">
        <v>213</v>
      </c>
      <c r="B214">
        <f>'Editing Page'!B221</f>
        <v>1</v>
      </c>
      <c r="C214" t="s">
        <v>1479</v>
      </c>
      <c r="D214" t="s">
        <v>1156</v>
      </c>
      <c r="J214">
        <v>0</v>
      </c>
      <c r="K214" t="s">
        <v>1710</v>
      </c>
      <c r="L214" t="s">
        <v>1528</v>
      </c>
      <c r="M214">
        <v>0</v>
      </c>
      <c r="N214">
        <v>0</v>
      </c>
      <c r="O214">
        <v>1</v>
      </c>
      <c r="U214" t="s">
        <v>1710</v>
      </c>
    </row>
    <row r="215" spans="1:21" x14ac:dyDescent="0.25">
      <c r="A215">
        <v>214</v>
      </c>
      <c r="B215">
        <f>'Editing Page'!B222</f>
        <v>1.2</v>
      </c>
      <c r="C215" t="s">
        <v>1479</v>
      </c>
      <c r="D215" t="s">
        <v>1157</v>
      </c>
      <c r="J215">
        <v>0</v>
      </c>
      <c r="K215" t="s">
        <v>1711</v>
      </c>
      <c r="L215" t="s">
        <v>1528</v>
      </c>
      <c r="M215">
        <v>0</v>
      </c>
      <c r="N215">
        <v>0</v>
      </c>
      <c r="O215">
        <v>1</v>
      </c>
      <c r="U215" t="s">
        <v>1711</v>
      </c>
    </row>
    <row r="216" spans="1:21" x14ac:dyDescent="0.25">
      <c r="A216">
        <v>215</v>
      </c>
      <c r="B216">
        <f>'Editing Page'!B223</f>
        <v>1</v>
      </c>
      <c r="C216" t="s">
        <v>1479</v>
      </c>
      <c r="D216" t="s">
        <v>1158</v>
      </c>
      <c r="J216">
        <v>0</v>
      </c>
      <c r="K216" t="s">
        <v>1712</v>
      </c>
      <c r="L216" t="s">
        <v>1528</v>
      </c>
      <c r="M216">
        <v>0</v>
      </c>
      <c r="N216">
        <v>0</v>
      </c>
      <c r="O216">
        <v>1</v>
      </c>
      <c r="U216" t="s">
        <v>1712</v>
      </c>
    </row>
    <row r="217" spans="1:21" x14ac:dyDescent="0.25">
      <c r="A217">
        <v>216</v>
      </c>
      <c r="B217">
        <f>'Editing Page'!B224</f>
        <v>7</v>
      </c>
      <c r="C217" t="s">
        <v>1485</v>
      </c>
      <c r="D217" t="s">
        <v>1159</v>
      </c>
      <c r="J217">
        <v>0</v>
      </c>
      <c r="K217" t="s">
        <v>1713</v>
      </c>
      <c r="L217" t="s">
        <v>1528</v>
      </c>
      <c r="M217">
        <v>0</v>
      </c>
      <c r="N217">
        <v>0</v>
      </c>
      <c r="O217">
        <v>1</v>
      </c>
      <c r="U217" t="s">
        <v>1713</v>
      </c>
    </row>
    <row r="218" spans="1:21" x14ac:dyDescent="0.25">
      <c r="A218">
        <v>217</v>
      </c>
      <c r="B218">
        <f>'Editing Page'!B225</f>
        <v>0</v>
      </c>
      <c r="C218" t="s">
        <v>1485</v>
      </c>
      <c r="D218" t="s">
        <v>1160</v>
      </c>
      <c r="J218">
        <v>0</v>
      </c>
      <c r="K218" t="s">
        <v>1714</v>
      </c>
      <c r="L218" t="s">
        <v>1528</v>
      </c>
      <c r="M218">
        <v>0</v>
      </c>
      <c r="N218">
        <v>0</v>
      </c>
      <c r="O218">
        <v>1</v>
      </c>
      <c r="U218" t="s">
        <v>1714</v>
      </c>
    </row>
    <row r="219" spans="1:21" x14ac:dyDescent="0.25">
      <c r="A219">
        <v>218</v>
      </c>
      <c r="B219">
        <f>'Editing Page'!B226</f>
        <v>105</v>
      </c>
      <c r="J219">
        <v>0</v>
      </c>
      <c r="K219" t="s">
        <v>1715</v>
      </c>
    </row>
    <row r="220" spans="1:21" x14ac:dyDescent="0.25">
      <c r="A220">
        <v>219</v>
      </c>
      <c r="B220">
        <f>'Editing Page'!B227</f>
        <v>120</v>
      </c>
      <c r="J220">
        <v>0</v>
      </c>
      <c r="K220" t="s">
        <v>1716</v>
      </c>
    </row>
    <row r="221" spans="1:21" x14ac:dyDescent="0.25">
      <c r="A221">
        <v>220</v>
      </c>
      <c r="B221">
        <f>'Editing Page'!B228</f>
        <v>1</v>
      </c>
      <c r="D221" t="s">
        <v>1212</v>
      </c>
      <c r="J221">
        <v>0</v>
      </c>
      <c r="K221" t="s">
        <v>1717</v>
      </c>
    </row>
    <row r="222" spans="1:21" x14ac:dyDescent="0.25">
      <c r="A222">
        <v>221</v>
      </c>
      <c r="B222">
        <f>'Editing Page'!B229</f>
        <v>0.42</v>
      </c>
      <c r="D222" t="s">
        <v>1213</v>
      </c>
      <c r="J222">
        <v>0</v>
      </c>
      <c r="K222" t="s">
        <v>1718</v>
      </c>
    </row>
    <row r="223" spans="1:21" x14ac:dyDescent="0.25">
      <c r="A223">
        <v>222</v>
      </c>
      <c r="B223">
        <f>'Editing Page'!B230</f>
        <v>0.35</v>
      </c>
      <c r="D223" t="s">
        <v>1214</v>
      </c>
      <c r="J223">
        <v>0</v>
      </c>
      <c r="K223" t="s">
        <v>1719</v>
      </c>
    </row>
    <row r="224" spans="1:21" x14ac:dyDescent="0.25">
      <c r="A224">
        <v>223</v>
      </c>
      <c r="B224">
        <f>'Editing Page'!B231</f>
        <v>0.2</v>
      </c>
      <c r="D224" t="s">
        <v>1215</v>
      </c>
      <c r="J224">
        <v>0</v>
      </c>
      <c r="K224" t="s">
        <v>1720</v>
      </c>
    </row>
    <row r="225" spans="1:11" x14ac:dyDescent="0.25">
      <c r="A225">
        <v>224</v>
      </c>
      <c r="B225">
        <f>'Editing Page'!B232</f>
        <v>0.5</v>
      </c>
      <c r="D225" t="s">
        <v>1216</v>
      </c>
      <c r="J225">
        <v>0</v>
      </c>
      <c r="K225" t="s">
        <v>1721</v>
      </c>
    </row>
    <row r="226" spans="1:11" x14ac:dyDescent="0.25">
      <c r="A226">
        <v>225</v>
      </c>
      <c r="B226">
        <f>'Editing Page'!B233</f>
        <v>1.63</v>
      </c>
      <c r="D226" t="s">
        <v>1161</v>
      </c>
      <c r="J226">
        <v>0</v>
      </c>
      <c r="K226" t="s">
        <v>1722</v>
      </c>
    </row>
    <row r="227" spans="1:11" x14ac:dyDescent="0.25">
      <c r="A227">
        <v>226</v>
      </c>
      <c r="B227">
        <f>'Editing Page'!B234</f>
        <v>0.38500000000000001</v>
      </c>
      <c r="C227" t="s">
        <v>1490</v>
      </c>
      <c r="D227" t="s">
        <v>1162</v>
      </c>
      <c r="K227" t="s">
        <v>1723</v>
      </c>
    </row>
    <row r="228" spans="1:11" x14ac:dyDescent="0.25">
      <c r="A228">
        <v>227</v>
      </c>
      <c r="B228">
        <f>'Editing Page'!B235</f>
        <v>0.46600000000000003</v>
      </c>
      <c r="C228" t="s">
        <v>1490</v>
      </c>
      <c r="D228" t="s">
        <v>1217</v>
      </c>
      <c r="K228" t="s">
        <v>1724</v>
      </c>
    </row>
    <row r="229" spans="1:11" x14ac:dyDescent="0.25">
      <c r="A229">
        <v>228</v>
      </c>
      <c r="B229">
        <f>'Editing Page'!B236</f>
        <v>0.39400000000000002</v>
      </c>
      <c r="C229" t="s">
        <v>1490</v>
      </c>
      <c r="D229" t="s">
        <v>1163</v>
      </c>
      <c r="K229" t="s">
        <v>1725</v>
      </c>
    </row>
    <row r="230" spans="1:11" x14ac:dyDescent="0.25">
      <c r="A230">
        <v>229</v>
      </c>
      <c r="B230">
        <f>'Editing Page'!B237</f>
        <v>0.39400000000000002</v>
      </c>
      <c r="C230" t="s">
        <v>1490</v>
      </c>
      <c r="D230" t="s">
        <v>1164</v>
      </c>
      <c r="K230" t="s">
        <v>1726</v>
      </c>
    </row>
    <row r="231" spans="1:11" x14ac:dyDescent="0.25">
      <c r="A231">
        <v>230</v>
      </c>
      <c r="B231">
        <f>'Editing Page'!B238</f>
        <v>0.4</v>
      </c>
      <c r="C231" t="s">
        <v>1490</v>
      </c>
      <c r="D231" t="s">
        <v>1165</v>
      </c>
      <c r="K231" t="s">
        <v>1727</v>
      </c>
    </row>
    <row r="232" spans="1:11" x14ac:dyDescent="0.25">
      <c r="A232">
        <v>231</v>
      </c>
      <c r="B232">
        <f>'Editing Page'!B239</f>
        <v>0.4</v>
      </c>
      <c r="C232" t="s">
        <v>1490</v>
      </c>
      <c r="D232" t="s">
        <v>1166</v>
      </c>
      <c r="K232" t="s">
        <v>1728</v>
      </c>
    </row>
    <row r="233" spans="1:11" x14ac:dyDescent="0.25">
      <c r="A233">
        <v>232</v>
      </c>
      <c r="B233">
        <f>'Editing Page'!B240</f>
        <v>8933</v>
      </c>
      <c r="C233" t="s">
        <v>1491</v>
      </c>
      <c r="D233" t="s">
        <v>1167</v>
      </c>
      <c r="K233" t="s">
        <v>1729</v>
      </c>
    </row>
    <row r="234" spans="1:11" x14ac:dyDescent="0.25">
      <c r="A234">
        <v>233</v>
      </c>
      <c r="B234">
        <f>'Editing Page'!B241</f>
        <v>7850</v>
      </c>
      <c r="C234" t="s">
        <v>1491</v>
      </c>
      <c r="D234" t="s">
        <v>1168</v>
      </c>
      <c r="K234" t="s">
        <v>1730</v>
      </c>
    </row>
    <row r="235" spans="1:11" x14ac:dyDescent="0.25">
      <c r="A235">
        <v>234</v>
      </c>
      <c r="B235">
        <f>'Editing Page'!B242</f>
        <v>8933</v>
      </c>
      <c r="C235" t="s">
        <v>1491</v>
      </c>
      <c r="D235" t="s">
        <v>1169</v>
      </c>
      <c r="K235" t="s">
        <v>1731</v>
      </c>
    </row>
    <row r="236" spans="1:11" x14ac:dyDescent="0.25">
      <c r="A236">
        <v>235</v>
      </c>
      <c r="B236">
        <f>'Editing Page'!B243</f>
        <v>8933</v>
      </c>
      <c r="C236" t="s">
        <v>1491</v>
      </c>
      <c r="D236" t="s">
        <v>1170</v>
      </c>
      <c r="K236" t="s">
        <v>1732</v>
      </c>
    </row>
    <row r="237" spans="1:11" x14ac:dyDescent="0.25">
      <c r="A237">
        <v>236</v>
      </c>
      <c r="B237">
        <f>'Editing Page'!B244</f>
        <v>8933</v>
      </c>
      <c r="C237" t="s">
        <v>1491</v>
      </c>
      <c r="D237" t="s">
        <v>1171</v>
      </c>
      <c r="K237" t="s">
        <v>1733</v>
      </c>
    </row>
    <row r="238" spans="1:11" x14ac:dyDescent="0.25">
      <c r="A238">
        <v>237</v>
      </c>
      <c r="B238">
        <f>'Editing Page'!B245</f>
        <v>8933</v>
      </c>
      <c r="C238" t="s">
        <v>1491</v>
      </c>
      <c r="D238" t="s">
        <v>1172</v>
      </c>
      <c r="K238" t="s">
        <v>1734</v>
      </c>
    </row>
    <row r="241" spans="7:15" x14ac:dyDescent="0.25">
      <c r="J241">
        <v>0</v>
      </c>
      <c r="K241" t="s">
        <v>1735</v>
      </c>
      <c r="M241">
        <v>27</v>
      </c>
      <c r="N241">
        <v>40</v>
      </c>
      <c r="O241">
        <v>147</v>
      </c>
    </row>
    <row r="242" spans="7:15" x14ac:dyDescent="0.25">
      <c r="G242" t="s">
        <v>1736</v>
      </c>
      <c r="H242" t="s">
        <v>1737</v>
      </c>
      <c r="I242" t="s">
        <v>1738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2022-07-05T15:18:07Z</dcterms:modified>
</cp:coreProperties>
</file>