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godyn\Documents\Actom\PMV-EXCEL-GUI\"/>
    </mc:Choice>
  </mc:AlternateContent>
  <bookViews>
    <workbookView xWindow="240" yWindow="105" windowWidth="14805" windowHeight="8010" activeTab="2"/>
  </bookViews>
  <sheets>
    <sheet name="Users" sheetId="1" r:id="rId1"/>
    <sheet name="Designs Log" sheetId="2" r:id="rId2"/>
    <sheet name="Editing Page" sheetId="3" r:id="rId3"/>
    <sheet name="Results" sheetId="4" r:id="rId4"/>
    <sheet name="Program Data" sheetId="6" r:id="rId5"/>
    <sheet name="VBA Exports" sheetId="5" r:id="rId6"/>
  </sheets>
  <functionGroups builtInGroupCount="18"/>
  <definedNames>
    <definedName name="_xlnm._FilterDatabase" localSheetId="1" hidden="1">'Designs Log'!$A$8:$N$467</definedName>
  </definedNames>
  <calcPr calcId="152511" iterate="1"/>
</workbook>
</file>

<file path=xl/calcChain.xml><?xml version="1.0" encoding="utf-8"?>
<calcChain xmlns="http://schemas.openxmlformats.org/spreadsheetml/2006/main">
  <c r="P7" i="3" l="1"/>
  <c r="Q54" i="3" l="1"/>
  <c r="Q246" i="3"/>
  <c r="Q194" i="3"/>
  <c r="Q141" i="3"/>
  <c r="Q78" i="3"/>
  <c r="Q226" i="3"/>
  <c r="Q173" i="3"/>
  <c r="Q109" i="3"/>
  <c r="Q8" i="3"/>
  <c r="Q215" i="3"/>
  <c r="Q151" i="3"/>
  <c r="Q94" i="3"/>
  <c r="Q237" i="3"/>
  <c r="Q183" i="3"/>
  <c r="Q130" i="3"/>
  <c r="Q22" i="3"/>
  <c r="Q205" i="3"/>
  <c r="Q162" i="3"/>
  <c r="Q119" i="3"/>
  <c r="Q12" i="3"/>
  <c r="Q16" i="3"/>
  <c r="Q20" i="3"/>
  <c r="Q24" i="3"/>
  <c r="Q28" i="3"/>
  <c r="Q32" i="3"/>
  <c r="Q36" i="3"/>
  <c r="Q40" i="3"/>
  <c r="Q44" i="3"/>
  <c r="Q48" i="3"/>
  <c r="Q52" i="3"/>
  <c r="Q56" i="3"/>
  <c r="Q60" i="3"/>
  <c r="Q64" i="3"/>
  <c r="Q68" i="3"/>
  <c r="Q72" i="3"/>
  <c r="Q76" i="3"/>
  <c r="Q80" i="3"/>
  <c r="Q84" i="3"/>
  <c r="Q88" i="3"/>
  <c r="Q92" i="3"/>
  <c r="Q96" i="3"/>
  <c r="Q100" i="3"/>
  <c r="Q104" i="3"/>
  <c r="Q108" i="3"/>
  <c r="Q112" i="3"/>
  <c r="Q116" i="3"/>
  <c r="Q120" i="3"/>
  <c r="Q124" i="3"/>
  <c r="Q128" i="3"/>
  <c r="Q132" i="3"/>
  <c r="Q136" i="3"/>
  <c r="Q140" i="3"/>
  <c r="Q144" i="3"/>
  <c r="Q148" i="3"/>
  <c r="Q152" i="3"/>
  <c r="Q156" i="3"/>
  <c r="Q160" i="3"/>
  <c r="Q164" i="3"/>
  <c r="Q168" i="3"/>
  <c r="Q172" i="3"/>
  <c r="Q176" i="3"/>
  <c r="Q180" i="3"/>
  <c r="Q184" i="3"/>
  <c r="Q188" i="3"/>
  <c r="Q192" i="3"/>
  <c r="Q196" i="3"/>
  <c r="Q200" i="3"/>
  <c r="Q204" i="3"/>
  <c r="Q208" i="3"/>
  <c r="Q212" i="3"/>
  <c r="Q216" i="3"/>
  <c r="Q220" i="3"/>
  <c r="Q224" i="3"/>
  <c r="Q228" i="3"/>
  <c r="Q232" i="3"/>
  <c r="Q236" i="3"/>
  <c r="Q240" i="3"/>
  <c r="Q244" i="3"/>
  <c r="Q9" i="3"/>
  <c r="Q13" i="3"/>
  <c r="Q17" i="3"/>
  <c r="Q21" i="3"/>
  <c r="Q25" i="3"/>
  <c r="Q29" i="3"/>
  <c r="Q33" i="3"/>
  <c r="Q37" i="3"/>
  <c r="Q41" i="3"/>
  <c r="Q45" i="3"/>
  <c r="Q49" i="3"/>
  <c r="Q53" i="3"/>
  <c r="Q57" i="3"/>
  <c r="Q61" i="3"/>
  <c r="Q65" i="3"/>
  <c r="Q69" i="3"/>
  <c r="Q73" i="3"/>
  <c r="Q77" i="3"/>
  <c r="Q81" i="3"/>
  <c r="Q85" i="3"/>
  <c r="Q89" i="3"/>
  <c r="Q93" i="3"/>
  <c r="Q97" i="3"/>
  <c r="Q101" i="3"/>
  <c r="Q105" i="3"/>
  <c r="Q15" i="3"/>
  <c r="Q23" i="3"/>
  <c r="Q31" i="3"/>
  <c r="Q39" i="3"/>
  <c r="Q47" i="3"/>
  <c r="Q55" i="3"/>
  <c r="Q63" i="3"/>
  <c r="Q71" i="3"/>
  <c r="Q79" i="3"/>
  <c r="Q87" i="3"/>
  <c r="Q95" i="3"/>
  <c r="Q103" i="3"/>
  <c r="Q110" i="3"/>
  <c r="Q115" i="3"/>
  <c r="Q121" i="3"/>
  <c r="Q126" i="3"/>
  <c r="Q131" i="3"/>
  <c r="Q137" i="3"/>
  <c r="Q142" i="3"/>
  <c r="Q147" i="3"/>
  <c r="Q153" i="3"/>
  <c r="Q158" i="3"/>
  <c r="Q163" i="3"/>
  <c r="Q169" i="3"/>
  <c r="Q174" i="3"/>
  <c r="Q179" i="3"/>
  <c r="Q185" i="3"/>
  <c r="Q190" i="3"/>
  <c r="Q195" i="3"/>
  <c r="Q201" i="3"/>
  <c r="Q206" i="3"/>
  <c r="Q211" i="3"/>
  <c r="Q217" i="3"/>
  <c r="Q222" i="3"/>
  <c r="Q227" i="3"/>
  <c r="Q233" i="3"/>
  <c r="Q238" i="3"/>
  <c r="Q243" i="3"/>
  <c r="Q10" i="3"/>
  <c r="Q18" i="3"/>
  <c r="Q26" i="3"/>
  <c r="Q34" i="3"/>
  <c r="Q42" i="3"/>
  <c r="Q50" i="3"/>
  <c r="Q58" i="3"/>
  <c r="Q66" i="3"/>
  <c r="Q74" i="3"/>
  <c r="Q82" i="3"/>
  <c r="Q90" i="3"/>
  <c r="Q98" i="3"/>
  <c r="Q106" i="3"/>
  <c r="Q111" i="3"/>
  <c r="Q117" i="3"/>
  <c r="Q122" i="3"/>
  <c r="Q127" i="3"/>
  <c r="Q133" i="3"/>
  <c r="Q138" i="3"/>
  <c r="Q143" i="3"/>
  <c r="Q149" i="3"/>
  <c r="Q154" i="3"/>
  <c r="Q159" i="3"/>
  <c r="Q165" i="3"/>
  <c r="Q170" i="3"/>
  <c r="Q175" i="3"/>
  <c r="Q181" i="3"/>
  <c r="Q186" i="3"/>
  <c r="Q191" i="3"/>
  <c r="Q197" i="3"/>
  <c r="Q202" i="3"/>
  <c r="Q207" i="3"/>
  <c r="Q213" i="3"/>
  <c r="Q218" i="3"/>
  <c r="Q223" i="3"/>
  <c r="Q229" i="3"/>
  <c r="Q234" i="3"/>
  <c r="Q239" i="3"/>
  <c r="Q245" i="3"/>
  <c r="Q11" i="3"/>
  <c r="Q19" i="3"/>
  <c r="Q27" i="3"/>
  <c r="Q35" i="3"/>
  <c r="Q43" i="3"/>
  <c r="Q51" i="3"/>
  <c r="Q59" i="3"/>
  <c r="Q67" i="3"/>
  <c r="Q235" i="3"/>
  <c r="Q225" i="3"/>
  <c r="Q214" i="3"/>
  <c r="Q203" i="3"/>
  <c r="Q193" i="3"/>
  <c r="Q182" i="3"/>
  <c r="Q171" i="3"/>
  <c r="Q161" i="3"/>
  <c r="Q150" i="3"/>
  <c r="Q139" i="3"/>
  <c r="Q129" i="3"/>
  <c r="Q118" i="3"/>
  <c r="Q107" i="3"/>
  <c r="Q91" i="3"/>
  <c r="Q75" i="3"/>
  <c r="Q46" i="3"/>
  <c r="Q14" i="3"/>
  <c r="Q242" i="3"/>
  <c r="Q231" i="3"/>
  <c r="Q221" i="3"/>
  <c r="Q210" i="3"/>
  <c r="Q199" i="3"/>
  <c r="Q189" i="3"/>
  <c r="Q178" i="3"/>
  <c r="Q167" i="3"/>
  <c r="Q157" i="3"/>
  <c r="Q146" i="3"/>
  <c r="Q135" i="3"/>
  <c r="Q125" i="3"/>
  <c r="Q114" i="3"/>
  <c r="Q102" i="3"/>
  <c r="Q86" i="3"/>
  <c r="Q70" i="3"/>
  <c r="Q38" i="3"/>
  <c r="Q241" i="3"/>
  <c r="Q230" i="3"/>
  <c r="Q219" i="3"/>
  <c r="Q209" i="3"/>
  <c r="Q198" i="3"/>
  <c r="Q187" i="3"/>
  <c r="Q177" i="3"/>
  <c r="Q166" i="3"/>
  <c r="Q155" i="3"/>
  <c r="Q145" i="3"/>
  <c r="Q134" i="3"/>
  <c r="Q123" i="3"/>
  <c r="Q113" i="3"/>
  <c r="Q99" i="3"/>
  <c r="Q83" i="3"/>
  <c r="Q62" i="3"/>
  <c r="Q30" i="3"/>
  <c r="A1" i="3"/>
  <c r="P6" i="3" l="1"/>
  <c r="P5" i="3" s="1"/>
  <c r="O7" i="3"/>
  <c r="O6" i="3" s="1"/>
  <c r="AA8" i="2"/>
  <c r="L7" i="3"/>
  <c r="B5" i="3" l="1"/>
  <c r="AA7" i="2"/>
</calcChain>
</file>

<file path=xl/sharedStrings.xml><?xml version="1.0" encoding="utf-8"?>
<sst xmlns="http://schemas.openxmlformats.org/spreadsheetml/2006/main" count="2977" uniqueCount="1481">
  <si>
    <t>ENG</t>
  </si>
  <si>
    <t>JOB NUMBER</t>
  </si>
  <si>
    <t>FRAME</t>
  </si>
  <si>
    <t>RATING</t>
  </si>
  <si>
    <t>POLES</t>
  </si>
  <si>
    <t>VOLTS</t>
  </si>
  <si>
    <t>FREQUENCY</t>
  </si>
  <si>
    <t>VSD</t>
  </si>
  <si>
    <t>INS CLASS</t>
  </si>
  <si>
    <t>NSS</t>
  </si>
  <si>
    <t>NSR</t>
  </si>
  <si>
    <t>SKEW</t>
  </si>
  <si>
    <t>MATBAR</t>
  </si>
  <si>
    <t>PMV</t>
  </si>
  <si>
    <t>TRA180009</t>
  </si>
  <si>
    <t>MS4 404</t>
  </si>
  <si>
    <t>F</t>
  </si>
  <si>
    <t xml:space="preserve">  [ 180009 ]</t>
  </si>
  <si>
    <t>AOO2013</t>
  </si>
  <si>
    <t>MS4 400</t>
  </si>
  <si>
    <t xml:space="preserve">  [ 2013 ]</t>
  </si>
  <si>
    <t>GM</t>
  </si>
  <si>
    <t>AOO2017</t>
  </si>
  <si>
    <t>MS4 350-4</t>
  </si>
  <si>
    <t xml:space="preserve">  [ 2017 ]</t>
  </si>
  <si>
    <t>AOO2018</t>
  </si>
  <si>
    <t>MS4 350-2</t>
  </si>
  <si>
    <t xml:space="preserve">  [ 2018 ]</t>
  </si>
  <si>
    <t>PR</t>
  </si>
  <si>
    <t>AOO2021</t>
  </si>
  <si>
    <t>MS4 352-4</t>
  </si>
  <si>
    <t xml:space="preserve">  [ 2021 ]</t>
  </si>
  <si>
    <t>AOO2033</t>
  </si>
  <si>
    <t xml:space="preserve">  [ 2033 ]</t>
  </si>
  <si>
    <t>AOO2043</t>
  </si>
  <si>
    <t>MS4 352-2</t>
  </si>
  <si>
    <t xml:space="preserve">  [ 2043 ]</t>
  </si>
  <si>
    <t>AOO2047</t>
  </si>
  <si>
    <t>MS4 354</t>
  </si>
  <si>
    <t xml:space="preserve">  [ 2047 ]</t>
  </si>
  <si>
    <t>AOO2064</t>
  </si>
  <si>
    <t>MS4 352</t>
  </si>
  <si>
    <t xml:space="preserve">  [ 2064 ]</t>
  </si>
  <si>
    <t>AOX2070 Cu</t>
  </si>
  <si>
    <t>MS4 402-2</t>
  </si>
  <si>
    <t xml:space="preserve">  [ 2070cu ]</t>
  </si>
  <si>
    <t>DM</t>
  </si>
  <si>
    <t>MS4 454-2</t>
  </si>
  <si>
    <t>AOO2089</t>
  </si>
  <si>
    <t>MS4 400-2</t>
  </si>
  <si>
    <t xml:space="preserve">  [ 2089 ]</t>
  </si>
  <si>
    <t>AOO2095</t>
  </si>
  <si>
    <t xml:space="preserve">  [ 2095 ]</t>
  </si>
  <si>
    <t>AOO2110</t>
  </si>
  <si>
    <t xml:space="preserve">  [ 2110 ]</t>
  </si>
  <si>
    <t>AOO2142</t>
  </si>
  <si>
    <t>MS4 354-4</t>
  </si>
  <si>
    <t xml:space="preserve">  [ 2142 ]</t>
  </si>
  <si>
    <t>AOO2152</t>
  </si>
  <si>
    <t xml:space="preserve">  [ 2152 ]</t>
  </si>
  <si>
    <t>AOO2161</t>
  </si>
  <si>
    <t>MS4 450</t>
  </si>
  <si>
    <t xml:space="preserve">  [ 2161 ]</t>
  </si>
  <si>
    <t>AOO2162</t>
  </si>
  <si>
    <t>MS4 452</t>
  </si>
  <si>
    <t xml:space="preserve">  [ 2162 ]</t>
  </si>
  <si>
    <t>AOO2191</t>
  </si>
  <si>
    <t xml:space="preserve">  [ 2191 ]</t>
  </si>
  <si>
    <t>AOO2195</t>
  </si>
  <si>
    <t xml:space="preserve">  [ 2195 ]</t>
  </si>
  <si>
    <t>AOO2202</t>
  </si>
  <si>
    <t xml:space="preserve">  [ 2202 ]</t>
  </si>
  <si>
    <t>AOO2204</t>
  </si>
  <si>
    <t>MS4 454</t>
  </si>
  <si>
    <t xml:space="preserve">  [ 2204 ]</t>
  </si>
  <si>
    <t>AOO2231</t>
  </si>
  <si>
    <t xml:space="preserve">  [ 2231 ]</t>
  </si>
  <si>
    <t>AOO2239</t>
  </si>
  <si>
    <t xml:space="preserve">  [ 2239 ]</t>
  </si>
  <si>
    <t>AOO2245</t>
  </si>
  <si>
    <t>MS4 450-2</t>
  </si>
  <si>
    <t xml:space="preserve">  [ 2245 ]</t>
  </si>
  <si>
    <t>AOO2246</t>
  </si>
  <si>
    <t>MS4 359-2</t>
  </si>
  <si>
    <t xml:space="preserve">  [ 2246 ]</t>
  </si>
  <si>
    <t>AOO2248</t>
  </si>
  <si>
    <t>MS4 404-6</t>
  </si>
  <si>
    <t xml:space="preserve">  [ 2248 ]</t>
  </si>
  <si>
    <t>AOO2273</t>
  </si>
  <si>
    <t>MS4 500</t>
  </si>
  <si>
    <t xml:space="preserve">  [ 2273 ]</t>
  </si>
  <si>
    <t>AOO2274</t>
  </si>
  <si>
    <t>MS4 404-2</t>
  </si>
  <si>
    <t xml:space="preserve">  [ 2274 ]</t>
  </si>
  <si>
    <t>AOO2275</t>
  </si>
  <si>
    <t xml:space="preserve">  [ 2275 ]</t>
  </si>
  <si>
    <t>AOO2279</t>
  </si>
  <si>
    <t xml:space="preserve">  [ 2279 ]</t>
  </si>
  <si>
    <t>AOO2280</t>
  </si>
  <si>
    <t>MS4 402-6</t>
  </si>
  <si>
    <t xml:space="preserve">  [ 2280 ]</t>
  </si>
  <si>
    <t>Based 2280</t>
  </si>
  <si>
    <t xml:space="preserve">  [ 2280Ba6 ]</t>
  </si>
  <si>
    <t>QD34793</t>
  </si>
  <si>
    <t xml:space="preserve">  [ 2281 ]</t>
  </si>
  <si>
    <t>AOO2284</t>
  </si>
  <si>
    <t xml:space="preserve">  [ 2284 ]</t>
  </si>
  <si>
    <t>AOO2288</t>
  </si>
  <si>
    <t xml:space="preserve">  [ 2288 ]</t>
  </si>
  <si>
    <t>AOO2290</t>
  </si>
  <si>
    <t>MS4 359-4</t>
  </si>
  <si>
    <t xml:space="preserve">  [ 2290 ]</t>
  </si>
  <si>
    <t>AOX2299</t>
  </si>
  <si>
    <t xml:space="preserve">  [ 2299 ]</t>
  </si>
  <si>
    <t>AOO2312</t>
  </si>
  <si>
    <t xml:space="preserve">  [ 2312 ]</t>
  </si>
  <si>
    <t>AOO2330</t>
  </si>
  <si>
    <t xml:space="preserve">  [ 2330 ]</t>
  </si>
  <si>
    <t>AOO2336</t>
  </si>
  <si>
    <t xml:space="preserve">  [ 2336 ]</t>
  </si>
  <si>
    <t>AOO2341</t>
  </si>
  <si>
    <t>MS4 452-6</t>
  </si>
  <si>
    <t xml:space="preserve">  [ 2341dev ]</t>
  </si>
  <si>
    <t>AOO2344</t>
  </si>
  <si>
    <t>MS4 566</t>
  </si>
  <si>
    <t xml:space="preserve">  [ 2344 ]</t>
  </si>
  <si>
    <t>AOO2355</t>
  </si>
  <si>
    <t xml:space="preserve">  [ 2355 ]</t>
  </si>
  <si>
    <t>AOO2370</t>
  </si>
  <si>
    <t xml:space="preserve">  [ 2370 ]</t>
  </si>
  <si>
    <t>AOO2371</t>
  </si>
  <si>
    <t>MS4X 454</t>
  </si>
  <si>
    <t xml:space="preserve">  [ 2371 ]</t>
  </si>
  <si>
    <t>AOO2372</t>
  </si>
  <si>
    <t xml:space="preserve">  [ 2372 ]</t>
  </si>
  <si>
    <t>AOO2373</t>
  </si>
  <si>
    <t>MS4 502</t>
  </si>
  <si>
    <t xml:space="preserve">  [ 2373 ]</t>
  </si>
  <si>
    <t>AOO2375</t>
  </si>
  <si>
    <t xml:space="preserve">  [ 2375 ]</t>
  </si>
  <si>
    <t>AOX2376</t>
  </si>
  <si>
    <t>MS4 505</t>
  </si>
  <si>
    <t xml:space="preserve">  [ 2376 ]</t>
  </si>
  <si>
    <t>AOO2380</t>
  </si>
  <si>
    <t xml:space="preserve">  [ 2380 ]</t>
  </si>
  <si>
    <t>AOO2387</t>
  </si>
  <si>
    <t>MS4 402</t>
  </si>
  <si>
    <t xml:space="preserve">  [ 2387 ]</t>
  </si>
  <si>
    <t>AOO2393</t>
  </si>
  <si>
    <t xml:space="preserve">  [ 2393 ]</t>
  </si>
  <si>
    <t>AOO2394</t>
  </si>
  <si>
    <t xml:space="preserve">  [ 2394 ]</t>
  </si>
  <si>
    <t>AOO2396</t>
  </si>
  <si>
    <t xml:space="preserve">  [ 2396 ]</t>
  </si>
  <si>
    <t xml:space="preserve">  [ 2396t ]</t>
  </si>
  <si>
    <t>AOX2397</t>
  </si>
  <si>
    <t>MS4 562</t>
  </si>
  <si>
    <t xml:space="preserve">  [ 2397 ]</t>
  </si>
  <si>
    <t>AOO2399</t>
  </si>
  <si>
    <t xml:space="preserve">  [ 2399 ]</t>
  </si>
  <si>
    <t>AOO2400</t>
  </si>
  <si>
    <t xml:space="preserve">  [ 2400 ]</t>
  </si>
  <si>
    <t>AOO2406</t>
  </si>
  <si>
    <t>MS4 564</t>
  </si>
  <si>
    <t xml:space="preserve">  [ 2406 ]</t>
  </si>
  <si>
    <t>AOO2414</t>
  </si>
  <si>
    <t xml:space="preserve">  [ 2414 ]</t>
  </si>
  <si>
    <t>AOO2422</t>
  </si>
  <si>
    <t>MS4X 315</t>
  </si>
  <si>
    <t xml:space="preserve">  [ 2422 ]</t>
  </si>
  <si>
    <t>AOO2423</t>
  </si>
  <si>
    <t xml:space="preserve">  [ 2423 ]</t>
  </si>
  <si>
    <t>AOO2428</t>
  </si>
  <si>
    <t xml:space="preserve">  [ 2428 ]</t>
  </si>
  <si>
    <t>AOO2431</t>
  </si>
  <si>
    <t xml:space="preserve">  [ 2431 ]</t>
  </si>
  <si>
    <t>AOO2432</t>
  </si>
  <si>
    <t xml:space="preserve">  [ 2432 ]</t>
  </si>
  <si>
    <t>DW</t>
  </si>
  <si>
    <t>AOO2438</t>
  </si>
  <si>
    <t xml:space="preserve">  [ 2438 ]</t>
  </si>
  <si>
    <t xml:space="preserve">  [ 2438.ddcsv ]</t>
  </si>
  <si>
    <t xml:space="preserve">  [ 2438dd ]</t>
  </si>
  <si>
    <t>AOO2444</t>
  </si>
  <si>
    <t xml:space="preserve">  [ 2444 ]</t>
  </si>
  <si>
    <t>AOO2447</t>
  </si>
  <si>
    <t xml:space="preserve">  [ 2447 ]</t>
  </si>
  <si>
    <t xml:space="preserve">  [ 2447i1 ]</t>
  </si>
  <si>
    <t xml:space="preserve">  [ 2447o1 ]</t>
  </si>
  <si>
    <t>AOO2451</t>
  </si>
  <si>
    <t xml:space="preserve">  [ 2451 ]</t>
  </si>
  <si>
    <t>AOO2453</t>
  </si>
  <si>
    <t>MS4 354-2</t>
  </si>
  <si>
    <t xml:space="preserve">  [ 2453 ]</t>
  </si>
  <si>
    <t>AOO2455</t>
  </si>
  <si>
    <t xml:space="preserve">  [ 2455 ]</t>
  </si>
  <si>
    <t>AOO2458</t>
  </si>
  <si>
    <t xml:space="preserve">  [ 2458 ]</t>
  </si>
  <si>
    <t>AOO2459</t>
  </si>
  <si>
    <t xml:space="preserve">  [ 2459 ]</t>
  </si>
  <si>
    <t>AOO2462</t>
  </si>
  <si>
    <t xml:space="preserve">  [ 2462 ]</t>
  </si>
  <si>
    <t>AOO2465</t>
  </si>
  <si>
    <t xml:space="preserve">  [ 2465 ]</t>
  </si>
  <si>
    <t>AOO2471</t>
  </si>
  <si>
    <t xml:space="preserve">  [ 2471 ]</t>
  </si>
  <si>
    <t>AOO2474</t>
  </si>
  <si>
    <t>MS4X 359-4</t>
  </si>
  <si>
    <t xml:space="preserve">  [ 2474 ]</t>
  </si>
  <si>
    <t>AOO2476</t>
  </si>
  <si>
    <t xml:space="preserve">  [ 2476 ]</t>
  </si>
  <si>
    <t>AOO2477</t>
  </si>
  <si>
    <t>MS4 400-6</t>
  </si>
  <si>
    <t xml:space="preserve">  [ 2477 ]</t>
  </si>
  <si>
    <t>AOO2479</t>
  </si>
  <si>
    <t>H</t>
  </si>
  <si>
    <t xml:space="preserve">  [ 2479 ]</t>
  </si>
  <si>
    <t>AOO2482</t>
  </si>
  <si>
    <t xml:space="preserve">  [ 2482 ]</t>
  </si>
  <si>
    <t>AOO2483</t>
  </si>
  <si>
    <t xml:space="preserve">  [ 2483 ]</t>
  </si>
  <si>
    <t>AOO2488</t>
  </si>
  <si>
    <t xml:space="preserve">  [ 2488 ]</t>
  </si>
  <si>
    <t>AOO2490</t>
  </si>
  <si>
    <t xml:space="preserve">  [ 2490 ]</t>
  </si>
  <si>
    <t>AOO2492</t>
  </si>
  <si>
    <t xml:space="preserve">  [ 2492 ]</t>
  </si>
  <si>
    <t>AOO2496</t>
  </si>
  <si>
    <t xml:space="preserve">  [ 2496 ]</t>
  </si>
  <si>
    <t>AOO2497</t>
  </si>
  <si>
    <t xml:space="preserve">  [ 2497 ]</t>
  </si>
  <si>
    <t>AOO2498</t>
  </si>
  <si>
    <t xml:space="preserve">  [ 2498 ]</t>
  </si>
  <si>
    <t>AOO2500</t>
  </si>
  <si>
    <t xml:space="preserve">  [ 2500 ]</t>
  </si>
  <si>
    <t>AOO2506</t>
  </si>
  <si>
    <t>MS4 359</t>
  </si>
  <si>
    <t xml:space="preserve">  [ 2506 ]</t>
  </si>
  <si>
    <t>AOO2509</t>
  </si>
  <si>
    <t xml:space="preserve">  [ 2509 ]</t>
  </si>
  <si>
    <t>AOO2513</t>
  </si>
  <si>
    <t xml:space="preserve">  [ 2513 ]</t>
  </si>
  <si>
    <t>AOO2514</t>
  </si>
  <si>
    <t xml:space="preserve">  [ 2514 ]</t>
  </si>
  <si>
    <t>AOO2516</t>
  </si>
  <si>
    <t xml:space="preserve">  [ 2516 ]</t>
  </si>
  <si>
    <t>AOO2517</t>
  </si>
  <si>
    <t xml:space="preserve">  [ 2517 ]</t>
  </si>
  <si>
    <t>AOO2522</t>
  </si>
  <si>
    <t xml:space="preserve">  [ 2522 ]</t>
  </si>
  <si>
    <t>AOX2524</t>
  </si>
  <si>
    <t xml:space="preserve">  [ 2524 ]</t>
  </si>
  <si>
    <t>AOX2524 (Rewind)</t>
  </si>
  <si>
    <t xml:space="preserve">  [ 2524b ]</t>
  </si>
  <si>
    <t>AOX2524 (RW A. Bars)</t>
  </si>
  <si>
    <t xml:space="preserve">  [ 2524c ]</t>
  </si>
  <si>
    <t xml:space="preserve">  [ 2524d ]</t>
  </si>
  <si>
    <t>AOX2525</t>
  </si>
  <si>
    <t xml:space="preserve">  [ 2525 ]</t>
  </si>
  <si>
    <t>AOX2526</t>
  </si>
  <si>
    <t xml:space="preserve">  [ 2526 ]</t>
  </si>
  <si>
    <t>AOO2528</t>
  </si>
  <si>
    <t xml:space="preserve">  [ 2528 ]</t>
  </si>
  <si>
    <t>AOO2529</t>
  </si>
  <si>
    <t xml:space="preserve">  [ 2529 ]</t>
  </si>
  <si>
    <t>AOO2530</t>
  </si>
  <si>
    <t xml:space="preserve">  [ 2530 ]</t>
  </si>
  <si>
    <t>AOO2532</t>
  </si>
  <si>
    <t>MS4X 352</t>
  </si>
  <si>
    <t xml:space="preserve">  [ 2532 ]</t>
  </si>
  <si>
    <t>AOO2533</t>
  </si>
  <si>
    <t xml:space="preserve">  [ 2533 ]</t>
  </si>
  <si>
    <t>AOO2534</t>
  </si>
  <si>
    <t xml:space="preserve">  [ 2534 ]</t>
  </si>
  <si>
    <t>AOO2538</t>
  </si>
  <si>
    <t xml:space="preserve">  [ 2538 ]</t>
  </si>
  <si>
    <t>AOO2539</t>
  </si>
  <si>
    <t xml:space="preserve">  [ 2539 ]</t>
  </si>
  <si>
    <t>AOO2540</t>
  </si>
  <si>
    <t xml:space="preserve">  [ 2540 ]</t>
  </si>
  <si>
    <t>AOO2541</t>
  </si>
  <si>
    <t xml:space="preserve">  [ 2541 ]</t>
  </si>
  <si>
    <t>AOO2544</t>
  </si>
  <si>
    <t xml:space="preserve">  [ 2544 ]</t>
  </si>
  <si>
    <t>AOO2545</t>
  </si>
  <si>
    <t xml:space="preserve">  [ 2545 ]</t>
  </si>
  <si>
    <t>AOO2546</t>
  </si>
  <si>
    <t xml:space="preserve">  [ 2546 ]</t>
  </si>
  <si>
    <t>AOX2548</t>
  </si>
  <si>
    <t xml:space="preserve">  [ 2548 ]</t>
  </si>
  <si>
    <t>AOO2554</t>
  </si>
  <si>
    <t xml:space="preserve">  [ 2554 ]</t>
  </si>
  <si>
    <t>AOO2555</t>
  </si>
  <si>
    <t xml:space="preserve">  [ 2555 ]</t>
  </si>
  <si>
    <t>QD33019-020</t>
  </si>
  <si>
    <t xml:space="preserve">  [ 33019020 ]</t>
  </si>
  <si>
    <t>33019-24</t>
  </si>
  <si>
    <t xml:space="preserve">  [ 3301924 ]</t>
  </si>
  <si>
    <t>QD34131B</t>
  </si>
  <si>
    <t>MS4 455</t>
  </si>
  <si>
    <t xml:space="preserve">  [ 34131Aa6 ]</t>
  </si>
  <si>
    <t>MS4 503</t>
  </si>
  <si>
    <t xml:space="preserve">  [ 34131Ba6 ]</t>
  </si>
  <si>
    <t>QD34131C</t>
  </si>
  <si>
    <t xml:space="preserve">  [ 34131Ca6 ]</t>
  </si>
  <si>
    <t>ASO8584</t>
  </si>
  <si>
    <t xml:space="preserve">  [ 34131Da6 WRONG ]</t>
  </si>
  <si>
    <t>COO4572</t>
  </si>
  <si>
    <t>ULX560/180</t>
  </si>
  <si>
    <t xml:space="preserve">  [ 4572 ]</t>
  </si>
  <si>
    <t>BOO4996</t>
  </si>
  <si>
    <t>UD400/112</t>
  </si>
  <si>
    <t xml:space="preserve">  [ 4996 ]</t>
  </si>
  <si>
    <t>51692/A1</t>
  </si>
  <si>
    <t>UC710/224</t>
  </si>
  <si>
    <t xml:space="preserve">  [ 51692a1 ]</t>
  </si>
  <si>
    <t>COO5455</t>
  </si>
  <si>
    <t>UDX500/180</t>
  </si>
  <si>
    <t xml:space="preserve">  [ 5455 ]</t>
  </si>
  <si>
    <t>BOO5458</t>
  </si>
  <si>
    <t>UD355/112</t>
  </si>
  <si>
    <t xml:space="preserve">  [ 5458 ]</t>
  </si>
  <si>
    <t>COO5525</t>
  </si>
  <si>
    <t>UCX710/215</t>
  </si>
  <si>
    <t xml:space="preserve">  [ 5525 ]</t>
  </si>
  <si>
    <t>COO5526</t>
  </si>
  <si>
    <t>UDX560/160</t>
  </si>
  <si>
    <t xml:space="preserve">  [ 5526 ]</t>
  </si>
  <si>
    <t>BOO5615</t>
  </si>
  <si>
    <t>UC355/100</t>
  </si>
  <si>
    <t xml:space="preserve">  [ 5615 ]</t>
  </si>
  <si>
    <t>AOO6479</t>
  </si>
  <si>
    <t xml:space="preserve">  [ 6479 ]</t>
  </si>
  <si>
    <t>AOO6484</t>
  </si>
  <si>
    <t xml:space="preserve">  [ 6484 ]</t>
  </si>
  <si>
    <t>AOO6496</t>
  </si>
  <si>
    <t>MS4 509</t>
  </si>
  <si>
    <t xml:space="preserve">  [ 6496 ]</t>
  </si>
  <si>
    <t>AOO6519</t>
  </si>
  <si>
    <t xml:space="preserve">  [ 6519 ]</t>
  </si>
  <si>
    <t>AOO6559</t>
  </si>
  <si>
    <t xml:space="preserve">  [ 6559 ]</t>
  </si>
  <si>
    <t>AO6638</t>
  </si>
  <si>
    <t xml:space="preserve">  [ 6638 ]</t>
  </si>
  <si>
    <t>AOX6656</t>
  </si>
  <si>
    <t xml:space="preserve">  [ 6656 ]</t>
  </si>
  <si>
    <t>AOO6671</t>
  </si>
  <si>
    <t xml:space="preserve">  [ 6671 ]</t>
  </si>
  <si>
    <t>AOX6682</t>
  </si>
  <si>
    <t>MS4 459-2</t>
  </si>
  <si>
    <t xml:space="preserve">  [ 6682 ]</t>
  </si>
  <si>
    <t>AOX6721</t>
  </si>
  <si>
    <t xml:space="preserve">  [ 6721 ]</t>
  </si>
  <si>
    <t>AOO6740</t>
  </si>
  <si>
    <t xml:space="preserve">  [ 6740 ]</t>
  </si>
  <si>
    <t>AOO6760</t>
  </si>
  <si>
    <t xml:space="preserve">  [ 6760 ]</t>
  </si>
  <si>
    <t>AOO6764</t>
  </si>
  <si>
    <t xml:space="preserve">  [ 6764 ]</t>
  </si>
  <si>
    <t>AOO6765</t>
  </si>
  <si>
    <t>MS4 504</t>
  </si>
  <si>
    <t xml:space="preserve">  [ 6765 ]</t>
  </si>
  <si>
    <t>AOX6767</t>
  </si>
  <si>
    <t xml:space="preserve">  [ 6767 ]</t>
  </si>
  <si>
    <t xml:space="preserve">  [ 6767t2 ]</t>
  </si>
  <si>
    <t xml:space="preserve">  [ 6767test ]</t>
  </si>
  <si>
    <t>AOO6788</t>
  </si>
  <si>
    <t xml:space="preserve">  [ 6788 ]</t>
  </si>
  <si>
    <t>AOO6825</t>
  </si>
  <si>
    <t xml:space="preserve">  [ 6825 ]</t>
  </si>
  <si>
    <t>AOO6852</t>
  </si>
  <si>
    <t xml:space="preserve">  [ 6852 ]</t>
  </si>
  <si>
    <t>AOX6872</t>
  </si>
  <si>
    <t xml:space="preserve">  [ 6872 ]</t>
  </si>
  <si>
    <t>AOO6877</t>
  </si>
  <si>
    <t xml:space="preserve">  [ 6877 ]</t>
  </si>
  <si>
    <t>AOO6908</t>
  </si>
  <si>
    <t xml:space="preserve">  [ 6908 ]</t>
  </si>
  <si>
    <t>AOO6943</t>
  </si>
  <si>
    <t xml:space="preserve">  [ 6943 ]</t>
  </si>
  <si>
    <t>AOO6946</t>
  </si>
  <si>
    <t>MS4 500-2</t>
  </si>
  <si>
    <t xml:space="preserve">  [ 6946 ]</t>
  </si>
  <si>
    <t>AOX6965</t>
  </si>
  <si>
    <t xml:space="preserve">  [ 6965 ]</t>
  </si>
  <si>
    <t>AOX6983</t>
  </si>
  <si>
    <t xml:space="preserve">  [ 6983 ]</t>
  </si>
  <si>
    <t>ASO8184</t>
  </si>
  <si>
    <t xml:space="preserve">  [ 8184 ]</t>
  </si>
  <si>
    <t>ASO8196</t>
  </si>
  <si>
    <t xml:space="preserve">  [ 8196 ]</t>
  </si>
  <si>
    <t>ASO8196 B</t>
  </si>
  <si>
    <t xml:space="preserve">  [ 8196b ]</t>
  </si>
  <si>
    <t>ASO8260</t>
  </si>
  <si>
    <t xml:space="preserve">  [ 8260 ]</t>
  </si>
  <si>
    <t>ASO8324</t>
  </si>
  <si>
    <t xml:space="preserve">  [ 8324 ]</t>
  </si>
  <si>
    <t>ASO8359</t>
  </si>
  <si>
    <t xml:space="preserve">  [ 8359 ]</t>
  </si>
  <si>
    <t>ASO8370</t>
  </si>
  <si>
    <t xml:space="preserve">  [ 8370 ]</t>
  </si>
  <si>
    <t>ASO8441</t>
  </si>
  <si>
    <t xml:space="preserve">  [ 8441 ]</t>
  </si>
  <si>
    <t>ASO8446</t>
  </si>
  <si>
    <t>MS4 452-2</t>
  </si>
  <si>
    <t xml:space="preserve">  [ 8446 ]</t>
  </si>
  <si>
    <t>AS8447</t>
  </si>
  <si>
    <t xml:space="preserve">  [ 8447 ]</t>
  </si>
  <si>
    <t xml:space="preserve">  [ 8449 ]</t>
  </si>
  <si>
    <t>8525a</t>
  </si>
  <si>
    <t xml:space="preserve">  [ 8525a ]</t>
  </si>
  <si>
    <t xml:space="preserve">  [ 8584 ]</t>
  </si>
  <si>
    <t>ASO8609</t>
  </si>
  <si>
    <t xml:space="preserve">  [ 8609 ]</t>
  </si>
  <si>
    <t>QD34911-02</t>
  </si>
  <si>
    <t xml:space="preserve">  [ DW_test1 ]</t>
  </si>
  <si>
    <t>F010208</t>
  </si>
  <si>
    <t xml:space="preserve">  [ F010208 ]</t>
  </si>
  <si>
    <t>F010254</t>
  </si>
  <si>
    <t xml:space="preserve">  [ F010254 ]</t>
  </si>
  <si>
    <t>F010295</t>
  </si>
  <si>
    <t xml:space="preserve">  [ F010295 ]</t>
  </si>
  <si>
    <t>F010353</t>
  </si>
  <si>
    <t xml:space="preserve">  [ F010353 ]</t>
  </si>
  <si>
    <t>F010362</t>
  </si>
  <si>
    <t xml:space="preserve">  [ F010362 ]</t>
  </si>
  <si>
    <t>FOO8953</t>
  </si>
  <si>
    <t xml:space="preserve">  [ FOO8953 ]</t>
  </si>
  <si>
    <t>FOO9075</t>
  </si>
  <si>
    <t xml:space="preserve">  [ FOO9075 ]</t>
  </si>
  <si>
    <t>FOO9706</t>
  </si>
  <si>
    <t xml:space="preserve">  [ FOO9706 ]</t>
  </si>
  <si>
    <t>QD33019-02</t>
  </si>
  <si>
    <t xml:space="preserve">  [ Q3301902 ]</t>
  </si>
  <si>
    <t>QD33019-08</t>
  </si>
  <si>
    <t xml:space="preserve">  [ Q3301908 ]</t>
  </si>
  <si>
    <t>QD33019-09</t>
  </si>
  <si>
    <t xml:space="preserve">  [ Q3301909 ]</t>
  </si>
  <si>
    <t>QD33019-16</t>
  </si>
  <si>
    <t xml:space="preserve">  [ Q3301916 ]</t>
  </si>
  <si>
    <t>QD33019-24</t>
  </si>
  <si>
    <t xml:space="preserve">  [ Q3301924 ]</t>
  </si>
  <si>
    <t>QD33019-25</t>
  </si>
  <si>
    <t xml:space="preserve">  [ Q3301925 ]</t>
  </si>
  <si>
    <t>QD33019-26</t>
  </si>
  <si>
    <t xml:space="preserve">  [ Q3301926 ]</t>
  </si>
  <si>
    <t>Q33776F2</t>
  </si>
  <si>
    <t xml:space="preserve">  [ Q33776F2 ]</t>
  </si>
  <si>
    <t>QD33776</t>
  </si>
  <si>
    <t xml:space="preserve">  [ Q33776G2 ]</t>
  </si>
  <si>
    <t xml:space="preserve">  [ Q33776G3 ]</t>
  </si>
  <si>
    <t>Q33776JN</t>
  </si>
  <si>
    <t xml:space="preserve">  [ Q33776JN ]</t>
  </si>
  <si>
    <t>QD34366</t>
  </si>
  <si>
    <t xml:space="preserve">  [ Q34366a6 ]</t>
  </si>
  <si>
    <t>QD34647-02</t>
  </si>
  <si>
    <t xml:space="preserve">  [ Q3464702 ]</t>
  </si>
  <si>
    <t>QD34662</t>
  </si>
  <si>
    <t xml:space="preserve">  [ Q3466201 ]</t>
  </si>
  <si>
    <t>QD34662-02</t>
  </si>
  <si>
    <t xml:space="preserve">  [ Q3466202 ]</t>
  </si>
  <si>
    <t>QD34662-03</t>
  </si>
  <si>
    <t>MS4 560</t>
  </si>
  <si>
    <t xml:space="preserve">  [ Q3466203 ]</t>
  </si>
  <si>
    <t>QD34911-01</t>
  </si>
  <si>
    <t xml:space="preserve">  [ Q3491101 ]</t>
  </si>
  <si>
    <t xml:space="preserve">  [ Q3491102 ]</t>
  </si>
  <si>
    <t>QD34911-03</t>
  </si>
  <si>
    <t xml:space="preserve">  [ Q3491103 ]</t>
  </si>
  <si>
    <t>QD34911-04</t>
  </si>
  <si>
    <t xml:space="preserve">  [ Q3491104 ]</t>
  </si>
  <si>
    <t>QD34911-06</t>
  </si>
  <si>
    <t>MS4X 354</t>
  </si>
  <si>
    <t xml:space="preserve">  [ Q3491106 ]</t>
  </si>
  <si>
    <t>QD34911-07</t>
  </si>
  <si>
    <t xml:space="preserve">  [ Q3491107 ]</t>
  </si>
  <si>
    <t>QD34911-08</t>
  </si>
  <si>
    <t xml:space="preserve">  [ Q3491108 ]</t>
  </si>
  <si>
    <t>Q3491109</t>
  </si>
  <si>
    <t xml:space="preserve">  [ Q3491109 ]</t>
  </si>
  <si>
    <t>QD34911-10</t>
  </si>
  <si>
    <t xml:space="preserve">  [ Q3491110 ]</t>
  </si>
  <si>
    <t>QD34911-11</t>
  </si>
  <si>
    <t>MS4X 352-2</t>
  </si>
  <si>
    <t xml:space="preserve">  [ Q3491111 ]</t>
  </si>
  <si>
    <t>QD34911-12</t>
  </si>
  <si>
    <t xml:space="preserve">  [ Q3491112 ]</t>
  </si>
  <si>
    <t>Q3491115</t>
  </si>
  <si>
    <t xml:space="preserve">  [ Q3491115 ]</t>
  </si>
  <si>
    <t>QD34911-17</t>
  </si>
  <si>
    <t xml:space="preserve">  [ Q3491117 ]</t>
  </si>
  <si>
    <t>QD34911-19</t>
  </si>
  <si>
    <t xml:space="preserve">  [ Q3491119 ]</t>
  </si>
  <si>
    <t>QD34911-21</t>
  </si>
  <si>
    <t xml:space="preserve">  [ Q3491121 ]</t>
  </si>
  <si>
    <t>QD34911-22</t>
  </si>
  <si>
    <t xml:space="preserve">  [ Q3491122 ]</t>
  </si>
  <si>
    <t>QD33656a</t>
  </si>
  <si>
    <t xml:space="preserve">  [ QD33656a ]</t>
  </si>
  <si>
    <t>QD33721</t>
  </si>
  <si>
    <t>MS4 453</t>
  </si>
  <si>
    <t xml:space="preserve">  [ QD33721 ]</t>
  </si>
  <si>
    <t>QD33863</t>
  </si>
  <si>
    <t xml:space="preserve">  [ QD33863 ]</t>
  </si>
  <si>
    <t>QD33895</t>
  </si>
  <si>
    <t xml:space="preserve">  [ QD33895 ]</t>
  </si>
  <si>
    <t>QD33989</t>
  </si>
  <si>
    <t xml:space="preserve">  [ QD33989 ]</t>
  </si>
  <si>
    <t>QD34022</t>
  </si>
  <si>
    <t xml:space="preserve">  [ QD34022 ]</t>
  </si>
  <si>
    <t>QD34022b</t>
  </si>
  <si>
    <t xml:space="preserve">  [ QD34022b ]</t>
  </si>
  <si>
    <t>QD34022c</t>
  </si>
  <si>
    <t>MS4 636</t>
  </si>
  <si>
    <t xml:space="preserve">  [ QD34022c ]</t>
  </si>
  <si>
    <t>QD34022d</t>
  </si>
  <si>
    <t xml:space="preserve">  [ QD34022d ]</t>
  </si>
  <si>
    <t>QD34022f</t>
  </si>
  <si>
    <t xml:space="preserve">  [ QD34022f ]</t>
  </si>
  <si>
    <t>QD34025</t>
  </si>
  <si>
    <t xml:space="preserve">  [ QD34025 ]</t>
  </si>
  <si>
    <t>QD33122B</t>
  </si>
  <si>
    <t xml:space="preserve">  [ QD34122b ]</t>
  </si>
  <si>
    <t>QD33122C</t>
  </si>
  <si>
    <t xml:space="preserve">  [ QD34122c ]</t>
  </si>
  <si>
    <t>QD34122-D</t>
  </si>
  <si>
    <t xml:space="preserve">  [ QD34122d ]</t>
  </si>
  <si>
    <t>QD34122-E</t>
  </si>
  <si>
    <t xml:space="preserve">  [ QD34122e ]</t>
  </si>
  <si>
    <t>QD34133</t>
  </si>
  <si>
    <t xml:space="preserve">  [ QD34133 ]</t>
  </si>
  <si>
    <t>TR180006</t>
  </si>
  <si>
    <t xml:space="preserve">  [ QD34143 ]</t>
  </si>
  <si>
    <t>QD34351</t>
  </si>
  <si>
    <t xml:space="preserve">  [ QD34351 ]</t>
  </si>
  <si>
    <t>QD34360b</t>
  </si>
  <si>
    <t xml:space="preserve">  [ QD34360b ]</t>
  </si>
  <si>
    <t>QD34372</t>
  </si>
  <si>
    <t xml:space="preserve">  [ QD34372a6 ]</t>
  </si>
  <si>
    <t>QD34375</t>
  </si>
  <si>
    <t xml:space="preserve">  [ QD34375 ]</t>
  </si>
  <si>
    <t>TR180032</t>
  </si>
  <si>
    <t xml:space="preserve">  [ QD34387a6 ]</t>
  </si>
  <si>
    <t>QD34389</t>
  </si>
  <si>
    <t xml:space="preserve">  [ QD34389 ]</t>
  </si>
  <si>
    <t>QD34424</t>
  </si>
  <si>
    <t xml:space="preserve">  [ QD34424 ]</t>
  </si>
  <si>
    <t>QD34428</t>
  </si>
  <si>
    <t xml:space="preserve">  [ QD34428 ]</t>
  </si>
  <si>
    <t>QD34433</t>
  </si>
  <si>
    <t xml:space="preserve">  [ QD34433 ]</t>
  </si>
  <si>
    <t>QD34436a</t>
  </si>
  <si>
    <t xml:space="preserve">  [ QD34436a ]</t>
  </si>
  <si>
    <t>QD34436-E</t>
  </si>
  <si>
    <t>MS4 502-2</t>
  </si>
  <si>
    <t xml:space="preserve">  [ QD34436e ]</t>
  </si>
  <si>
    <t>QD34443</t>
  </si>
  <si>
    <t xml:space="preserve">  [ QD34443 ]</t>
  </si>
  <si>
    <t>QD34448</t>
  </si>
  <si>
    <t xml:space="preserve">  [ QD34448 ]</t>
  </si>
  <si>
    <t xml:space="preserve">  [ QD34451a ]</t>
  </si>
  <si>
    <t xml:space="preserve">  [ QD34451b ]</t>
  </si>
  <si>
    <t>QD34457</t>
  </si>
  <si>
    <t xml:space="preserve">  [ QD34457 ]</t>
  </si>
  <si>
    <t>QD34457b</t>
  </si>
  <si>
    <t xml:space="preserve">  [ QD34457b ]</t>
  </si>
  <si>
    <t>QD34471</t>
  </si>
  <si>
    <t xml:space="preserve">  [ QD34471 ]</t>
  </si>
  <si>
    <t>QD34471C</t>
  </si>
  <si>
    <t xml:space="preserve">  [ QD34471c ]</t>
  </si>
  <si>
    <t>QD34490a</t>
  </si>
  <si>
    <t xml:space="preserve">  [ QD34490a ]</t>
  </si>
  <si>
    <t>QD34490b</t>
  </si>
  <si>
    <t xml:space="preserve">  [ QD34490b ]</t>
  </si>
  <si>
    <t>QD34498</t>
  </si>
  <si>
    <t xml:space="preserve">  [ QD34498 ]</t>
  </si>
  <si>
    <t xml:space="preserve">  [ QD34498a ]</t>
  </si>
  <si>
    <t xml:space="preserve">  [ QD34498b ]</t>
  </si>
  <si>
    <t>QD34498c</t>
  </si>
  <si>
    <t xml:space="preserve">  [ QD34498c ]</t>
  </si>
  <si>
    <t>QD34499</t>
  </si>
  <si>
    <t xml:space="preserve">  [ QD34499 ]</t>
  </si>
  <si>
    <t>QD34504</t>
  </si>
  <si>
    <t xml:space="preserve">  [ QD34504 ]</t>
  </si>
  <si>
    <t>QD34505</t>
  </si>
  <si>
    <t xml:space="preserve">  [ QD34505 ]</t>
  </si>
  <si>
    <t>QD34511</t>
  </si>
  <si>
    <t xml:space="preserve">  [ QD34511 ]</t>
  </si>
  <si>
    <t>QD34522</t>
  </si>
  <si>
    <t xml:space="preserve">  [ QD34522 ]</t>
  </si>
  <si>
    <t>QD34523</t>
  </si>
  <si>
    <t xml:space="preserve">  [ QD34523 ]</t>
  </si>
  <si>
    <t>QD34524</t>
  </si>
  <si>
    <t xml:space="preserve">  [ QD34524 ]</t>
  </si>
  <si>
    <t>QD34531</t>
  </si>
  <si>
    <t xml:space="preserve">  [ QD34531 ]</t>
  </si>
  <si>
    <t>QD34538</t>
  </si>
  <si>
    <t xml:space="preserve">  [ QD34538 ]</t>
  </si>
  <si>
    <t>QD34547</t>
  </si>
  <si>
    <t xml:space="preserve">  [ QD34547 ]</t>
  </si>
  <si>
    <t>QD34551 A</t>
  </si>
  <si>
    <t xml:space="preserve">  [ QD34551a ]</t>
  </si>
  <si>
    <t>QD34551 B</t>
  </si>
  <si>
    <t xml:space="preserve">  [ QD34551b ]</t>
  </si>
  <si>
    <t>QD34561 B</t>
  </si>
  <si>
    <t xml:space="preserve">  [ QD34561b ]</t>
  </si>
  <si>
    <t>QD34561c</t>
  </si>
  <si>
    <t xml:space="preserve">  [ QD34561c ]</t>
  </si>
  <si>
    <t>QD34563</t>
  </si>
  <si>
    <t xml:space="preserve">  [ QD34563 ]</t>
  </si>
  <si>
    <t>QD34572a</t>
  </si>
  <si>
    <t xml:space="preserve">  [ QD34572a ]</t>
  </si>
  <si>
    <t>QD34575</t>
  </si>
  <si>
    <t xml:space="preserve">  [ QD34575 ]</t>
  </si>
  <si>
    <t>QD34578</t>
  </si>
  <si>
    <t xml:space="preserve">  [ QD34578 ]</t>
  </si>
  <si>
    <t>QD34579</t>
  </si>
  <si>
    <t xml:space="preserve">  [ QD34579 ]</t>
  </si>
  <si>
    <t xml:space="preserve">  [ QD34580 ]</t>
  </si>
  <si>
    <t>TRA180018</t>
  </si>
  <si>
    <t xml:space="preserve">  [ QD34595 ]</t>
  </si>
  <si>
    <t>QD34604</t>
  </si>
  <si>
    <t xml:space="preserve">  [ QD34604 ]</t>
  </si>
  <si>
    <t>QD34608 A</t>
  </si>
  <si>
    <t xml:space="preserve">  [ QD34608a ]</t>
  </si>
  <si>
    <t>QD34611</t>
  </si>
  <si>
    <t xml:space="preserve">  [ QD34611 ]</t>
  </si>
  <si>
    <t>QD34615</t>
  </si>
  <si>
    <t xml:space="preserve">  [ QD34615 ]</t>
  </si>
  <si>
    <t>QD34616 A</t>
  </si>
  <si>
    <t xml:space="preserve">  [ QD34616a ]</t>
  </si>
  <si>
    <t>QD34622</t>
  </si>
  <si>
    <t xml:space="preserve">  [ QD34622 ]</t>
  </si>
  <si>
    <t xml:space="preserve">  [ QD34631 ]</t>
  </si>
  <si>
    <t>QD34635</t>
  </si>
  <si>
    <t xml:space="preserve">  [ QD34635 ]</t>
  </si>
  <si>
    <t>QD34642</t>
  </si>
  <si>
    <t xml:space="preserve">  [ QD34642 ]</t>
  </si>
  <si>
    <t>QD34645</t>
  </si>
  <si>
    <t xml:space="preserve">  [ QD34645 ]</t>
  </si>
  <si>
    <t>QD34646-B</t>
  </si>
  <si>
    <t xml:space="preserve">  [ QD34646B ]</t>
  </si>
  <si>
    <t>QD34649</t>
  </si>
  <si>
    <t xml:space="preserve">  [ QD34649 ]</t>
  </si>
  <si>
    <t>QD34652</t>
  </si>
  <si>
    <t xml:space="preserve">  [ QD34652 ]</t>
  </si>
  <si>
    <t>QD34653</t>
  </si>
  <si>
    <t xml:space="preserve">  [ QD34653 ]</t>
  </si>
  <si>
    <t>QD34654</t>
  </si>
  <si>
    <t xml:space="preserve">  [ QD34654 ]</t>
  </si>
  <si>
    <t>QD34655</t>
  </si>
  <si>
    <t xml:space="preserve">  [ QD34655 ]</t>
  </si>
  <si>
    <t>QD34658</t>
  </si>
  <si>
    <t xml:space="preserve">  [ QD34658 ]</t>
  </si>
  <si>
    <t>QD34659</t>
  </si>
  <si>
    <t xml:space="preserve">  [ QD34659 ]</t>
  </si>
  <si>
    <t>QD34659b</t>
  </si>
  <si>
    <t xml:space="preserve">  [ QD34659b ]</t>
  </si>
  <si>
    <t>QD34660</t>
  </si>
  <si>
    <t xml:space="preserve">  [ QD34660 ]</t>
  </si>
  <si>
    <t>QD34663 B</t>
  </si>
  <si>
    <t xml:space="preserve">  [ QD34663b ]</t>
  </si>
  <si>
    <t>QD34663-01</t>
  </si>
  <si>
    <t xml:space="preserve">  [ QD34663d ]</t>
  </si>
  <si>
    <t>QD34663 F</t>
  </si>
  <si>
    <t xml:space="preserve">  [ QD34663F ]</t>
  </si>
  <si>
    <t>QD34663-G</t>
  </si>
  <si>
    <t xml:space="preserve">  [ QD34663G ]</t>
  </si>
  <si>
    <t>QD34666</t>
  </si>
  <si>
    <t xml:space="preserve">  [ QD34666 ]</t>
  </si>
  <si>
    <t xml:space="preserve">  [ QD34671 ]</t>
  </si>
  <si>
    <t>QD34681</t>
  </si>
  <si>
    <t xml:space="preserve">  [ QD34681 ]</t>
  </si>
  <si>
    <t xml:space="preserve">  [ QD34684 ]</t>
  </si>
  <si>
    <t>QD34685-B</t>
  </si>
  <si>
    <t xml:space="preserve">  [ QD34685b ]</t>
  </si>
  <si>
    <t>QD34689</t>
  </si>
  <si>
    <t xml:space="preserve">  [ QD34689 ]</t>
  </si>
  <si>
    <t>QD34691</t>
  </si>
  <si>
    <t xml:space="preserve">  [ QD34691 ]</t>
  </si>
  <si>
    <t>QD34695</t>
  </si>
  <si>
    <t xml:space="preserve">  [ QD34695 ]</t>
  </si>
  <si>
    <t>QD34701</t>
  </si>
  <si>
    <t xml:space="preserve">  [ QD34701b ]</t>
  </si>
  <si>
    <t>QD34705</t>
  </si>
  <si>
    <t xml:space="preserve">  [ QD34705 ]</t>
  </si>
  <si>
    <t>QD34711</t>
  </si>
  <si>
    <t xml:space="preserve">  [ QD34711 ]</t>
  </si>
  <si>
    <t>QD34713</t>
  </si>
  <si>
    <t xml:space="preserve">  [ QD34713 ]</t>
  </si>
  <si>
    <t>QD34717</t>
  </si>
  <si>
    <t xml:space="preserve">  [ QD34717 ]</t>
  </si>
  <si>
    <t>QD34719B</t>
  </si>
  <si>
    <t xml:space="preserve">  [ QD34719b ]</t>
  </si>
  <si>
    <t>QD34721</t>
  </si>
  <si>
    <t xml:space="preserve">  [ QD34721 ]</t>
  </si>
  <si>
    <t>QD34726</t>
  </si>
  <si>
    <t xml:space="preserve">  [ QD34726 ]</t>
  </si>
  <si>
    <t>QD34729-B</t>
  </si>
  <si>
    <t xml:space="preserve">  [ QD34729b ]</t>
  </si>
  <si>
    <t>QD34731</t>
  </si>
  <si>
    <t xml:space="preserve">  [ QD34731 ]</t>
  </si>
  <si>
    <t xml:space="preserve">  [ QD34731b ]</t>
  </si>
  <si>
    <t>QD34731 C</t>
  </si>
  <si>
    <t xml:space="preserve">  [ QD34731c ]</t>
  </si>
  <si>
    <t>QD34731 D</t>
  </si>
  <si>
    <t xml:space="preserve">  [ QD34731d ]</t>
  </si>
  <si>
    <t>QD34736</t>
  </si>
  <si>
    <t xml:space="preserve">  [ QD34736 ]</t>
  </si>
  <si>
    <t>QD34739</t>
  </si>
  <si>
    <t xml:space="preserve">  [ QD34739 ]</t>
  </si>
  <si>
    <t>QD34740</t>
  </si>
  <si>
    <t xml:space="preserve">  [ QD34740 ]</t>
  </si>
  <si>
    <t>QD34742</t>
  </si>
  <si>
    <t xml:space="preserve">  [ QD34742 ]</t>
  </si>
  <si>
    <t>QD34745</t>
  </si>
  <si>
    <t xml:space="preserve">  [ QD34745 ]</t>
  </si>
  <si>
    <t>QD34748</t>
  </si>
  <si>
    <t xml:space="preserve">  [ QD34748 ]</t>
  </si>
  <si>
    <t>QD34751</t>
  </si>
  <si>
    <t xml:space="preserve">  [ QD34751 ]</t>
  </si>
  <si>
    <t>QD34752</t>
  </si>
  <si>
    <t xml:space="preserve">  [ QD34752 ]</t>
  </si>
  <si>
    <t>QD34762</t>
  </si>
  <si>
    <t xml:space="preserve">  [ QD34762 ]</t>
  </si>
  <si>
    <t>QD34765</t>
  </si>
  <si>
    <t xml:space="preserve">  [ QD34765 ]</t>
  </si>
  <si>
    <t>QD34770</t>
  </si>
  <si>
    <t xml:space="preserve">  [ QD34770 ]</t>
  </si>
  <si>
    <t>QD34771</t>
  </si>
  <si>
    <t>MS4X 450-2</t>
  </si>
  <si>
    <t xml:space="preserve">  [ QD34771 ]</t>
  </si>
  <si>
    <t>QD34776-B</t>
  </si>
  <si>
    <t xml:space="preserve">  [ QD34776b ]</t>
  </si>
  <si>
    <t>QD34778</t>
  </si>
  <si>
    <t xml:space="preserve">  [ QD34778 ]</t>
  </si>
  <si>
    <t>QD34780</t>
  </si>
  <si>
    <t xml:space="preserve">  [ QD34780 ]</t>
  </si>
  <si>
    <t>QD34788</t>
  </si>
  <si>
    <t xml:space="preserve">  [ QD34788 ]</t>
  </si>
  <si>
    <t xml:space="preserve">  [ QD34793 ]</t>
  </si>
  <si>
    <t>QD34798</t>
  </si>
  <si>
    <t xml:space="preserve">  [ QD34798 ]</t>
  </si>
  <si>
    <t>QD34800</t>
  </si>
  <si>
    <t xml:space="preserve">  [ QD34800 ]</t>
  </si>
  <si>
    <t>QD34814</t>
  </si>
  <si>
    <t xml:space="preserve">  [ QD34814 ]</t>
  </si>
  <si>
    <t>QD34816</t>
  </si>
  <si>
    <t xml:space="preserve">  [ QD34816 ]</t>
  </si>
  <si>
    <t>QD34817</t>
  </si>
  <si>
    <t xml:space="preserve">  [ QD34817 ]</t>
  </si>
  <si>
    <t>QD34819</t>
  </si>
  <si>
    <t xml:space="preserve">  [ QD34819 ]</t>
  </si>
  <si>
    <t>QD34828-A</t>
  </si>
  <si>
    <t xml:space="preserve">  [ QD34828a ]</t>
  </si>
  <si>
    <t>QD34828-B</t>
  </si>
  <si>
    <t xml:space="preserve">  [ QD34828b ]</t>
  </si>
  <si>
    <t>QD34830b</t>
  </si>
  <si>
    <t xml:space="preserve">  [ QD34830b ]</t>
  </si>
  <si>
    <t>QD34830-C</t>
  </si>
  <si>
    <t xml:space="preserve">  [ QD34830c ]</t>
  </si>
  <si>
    <t>QD34830z</t>
  </si>
  <si>
    <t xml:space="preserve">  [ QD34830z ]</t>
  </si>
  <si>
    <t>QD34839</t>
  </si>
  <si>
    <t xml:space="preserve">  [ QD34839.0 ]</t>
  </si>
  <si>
    <t xml:space="preserve">  [ QD34839 ]</t>
  </si>
  <si>
    <t>QD34841</t>
  </si>
  <si>
    <t xml:space="preserve">  [ QD34841 ]</t>
  </si>
  <si>
    <t>QD34854</t>
  </si>
  <si>
    <t xml:space="preserve">  [ QD34854 ]</t>
  </si>
  <si>
    <t>QD34971</t>
  </si>
  <si>
    <t xml:space="preserve">  [ QD34871 ]</t>
  </si>
  <si>
    <t>QD34782</t>
  </si>
  <si>
    <t>MS4X 350-2</t>
  </si>
  <si>
    <t xml:space="preserve">  [ QD34872 ]</t>
  </si>
  <si>
    <t>QD34877</t>
  </si>
  <si>
    <t xml:space="preserve">  [ QD34877 ]</t>
  </si>
  <si>
    <t>PKR</t>
  </si>
  <si>
    <t>QD34881</t>
  </si>
  <si>
    <t xml:space="preserve">  [ QD34881 ]</t>
  </si>
  <si>
    <t>QD34886B</t>
  </si>
  <si>
    <t xml:space="preserve">  [ QD34886B ]</t>
  </si>
  <si>
    <t>QD34891</t>
  </si>
  <si>
    <t xml:space="preserve">  [ QD34891 ]</t>
  </si>
  <si>
    <t>QD34892</t>
  </si>
  <si>
    <t xml:space="preserve">  [ QD34892 ]</t>
  </si>
  <si>
    <t>QD34894</t>
  </si>
  <si>
    <t xml:space="preserve">  [ QD34894 ]</t>
  </si>
  <si>
    <t xml:space="preserve">  [ QD34894b ]</t>
  </si>
  <si>
    <t>QD34896</t>
  </si>
  <si>
    <t xml:space="preserve">  [ QD34896a ]</t>
  </si>
  <si>
    <t xml:space="preserve">  [ QD34896b ]</t>
  </si>
  <si>
    <t>QD34902 A</t>
  </si>
  <si>
    <t xml:space="preserve">  [ QD34902a ]</t>
  </si>
  <si>
    <t>QD34903</t>
  </si>
  <si>
    <t xml:space="preserve">  [ QD34903 ]</t>
  </si>
  <si>
    <t>QD34905</t>
  </si>
  <si>
    <t xml:space="preserve">  [ QD34905 ]</t>
  </si>
  <si>
    <t>QD34907B</t>
  </si>
  <si>
    <t>MS4X 355-4</t>
  </si>
  <si>
    <t xml:space="preserve">  [ QD34907 ]</t>
  </si>
  <si>
    <t>QD34910</t>
  </si>
  <si>
    <t xml:space="preserve">  [ QD34910 ]</t>
  </si>
  <si>
    <t>QD34913</t>
  </si>
  <si>
    <t xml:space="preserve">  [ QD34913 ]</t>
  </si>
  <si>
    <t>QD34920A</t>
  </si>
  <si>
    <t>MS4 454-8</t>
  </si>
  <si>
    <t xml:space="preserve">  [ QD34920A ]</t>
  </si>
  <si>
    <t xml:space="preserve">  [ QD34920AD ]</t>
  </si>
  <si>
    <t>QD34920</t>
  </si>
  <si>
    <t xml:space="preserve">  [ QD34920b ]</t>
  </si>
  <si>
    <t>QD34922 A</t>
  </si>
  <si>
    <t xml:space="preserve">  [ QD34922a ]</t>
  </si>
  <si>
    <t>QD34922 B</t>
  </si>
  <si>
    <t xml:space="preserve">  [ QD34922b ]</t>
  </si>
  <si>
    <t>QD34924</t>
  </si>
  <si>
    <t xml:space="preserve">  [ QD34924 ]</t>
  </si>
  <si>
    <t>QD34925</t>
  </si>
  <si>
    <t xml:space="preserve">  [ QD34925 ]</t>
  </si>
  <si>
    <t>QD34929-A</t>
  </si>
  <si>
    <t xml:space="preserve">  [ QD34929a ]</t>
  </si>
  <si>
    <t>QD34929C</t>
  </si>
  <si>
    <t xml:space="preserve">  [ QD34929C ]</t>
  </si>
  <si>
    <t>QD34932A</t>
  </si>
  <si>
    <t xml:space="preserve">  [ QD34932a ]</t>
  </si>
  <si>
    <t>QD34932B</t>
  </si>
  <si>
    <t xml:space="preserve">  [ QD34932B ]</t>
  </si>
  <si>
    <t>QD34935</t>
  </si>
  <si>
    <t xml:space="preserve">  [ QD34935 ]</t>
  </si>
  <si>
    <t>QD34936B</t>
  </si>
  <si>
    <t>MS4 502-4</t>
  </si>
  <si>
    <t xml:space="preserve">  [ QD34936B ]</t>
  </si>
  <si>
    <t>QD34936C</t>
  </si>
  <si>
    <t xml:space="preserve">  [ QD34936C ]</t>
  </si>
  <si>
    <t>QD34936D</t>
  </si>
  <si>
    <t xml:space="preserve">  [ QD34936D ]</t>
  </si>
  <si>
    <t>QD34938</t>
  </si>
  <si>
    <t xml:space="preserve">  [ QD34938 ]</t>
  </si>
  <si>
    <t>QD34953</t>
  </si>
  <si>
    <t xml:space="preserve">  [ QD34953 ]</t>
  </si>
  <si>
    <t>QD34964A</t>
  </si>
  <si>
    <t xml:space="preserve">  [ QD34964A ]</t>
  </si>
  <si>
    <t>QD34964B</t>
  </si>
  <si>
    <t xml:space="preserve">  [ QD34964B ]</t>
  </si>
  <si>
    <t>QD34964C</t>
  </si>
  <si>
    <t xml:space="preserve">  [ QD34964C ]</t>
  </si>
  <si>
    <t>QD34964-D</t>
  </si>
  <si>
    <t xml:space="preserve">  [ QD34964d ]</t>
  </si>
  <si>
    <t>QD34964-E</t>
  </si>
  <si>
    <t xml:space="preserve">  [ QD34964e ]</t>
  </si>
  <si>
    <t>QD34967</t>
  </si>
  <si>
    <t xml:space="preserve">  [ QD34967 ]</t>
  </si>
  <si>
    <t>QD34967A</t>
  </si>
  <si>
    <t xml:space="preserve">  [ QD34967A ]</t>
  </si>
  <si>
    <t>QD34969</t>
  </si>
  <si>
    <t xml:space="preserve">  [ QD34969 ]</t>
  </si>
  <si>
    <t>QD34974</t>
  </si>
  <si>
    <t xml:space="preserve">  [ QD34974 ]</t>
  </si>
  <si>
    <t>QD34975</t>
  </si>
  <si>
    <t xml:space="preserve">  [ QD34975 ]</t>
  </si>
  <si>
    <t>QD34976</t>
  </si>
  <si>
    <t xml:space="preserve">  [ QD34976a ]</t>
  </si>
  <si>
    <t>QD34976B</t>
  </si>
  <si>
    <t xml:space="preserve">  [ QD34976B ]</t>
  </si>
  <si>
    <t>QD34976C</t>
  </si>
  <si>
    <t xml:space="preserve">  [ QD34976C ]</t>
  </si>
  <si>
    <t>QD34976-D</t>
  </si>
  <si>
    <t xml:space="preserve">  [ QD34976d ]</t>
  </si>
  <si>
    <t>QD34976-E</t>
  </si>
  <si>
    <t xml:space="preserve">  [ QD34976e ]</t>
  </si>
  <si>
    <t>QD34994</t>
  </si>
  <si>
    <t xml:space="preserve">  [ QD34994 ]</t>
  </si>
  <si>
    <t>QD34996B</t>
  </si>
  <si>
    <t xml:space="preserve">  [ QD34996B ]</t>
  </si>
  <si>
    <t>QD34997</t>
  </si>
  <si>
    <t xml:space="preserve">  [ QD34997 ]</t>
  </si>
  <si>
    <t>QD34999</t>
  </si>
  <si>
    <t xml:space="preserve">  [ QD34999 ]</t>
  </si>
  <si>
    <t>SP06194</t>
  </si>
  <si>
    <t xml:space="preserve">  [ SP06194 ]</t>
  </si>
  <si>
    <t>SP06221</t>
  </si>
  <si>
    <t xml:space="preserve">  [ SP06221 ]</t>
  </si>
  <si>
    <t xml:space="preserve">  [ SP06221b ]</t>
  </si>
  <si>
    <t>SP06255a</t>
  </si>
  <si>
    <t xml:space="preserve">  [ SP06255a ]</t>
  </si>
  <si>
    <t>SP06476</t>
  </si>
  <si>
    <t xml:space="preserve">  [ SP06476 ]</t>
  </si>
  <si>
    <t>SPO6726</t>
  </si>
  <si>
    <t xml:space="preserve">  [ SPO6726 ]</t>
  </si>
  <si>
    <t>SPO6761</t>
  </si>
  <si>
    <t xml:space="preserve">  [ SPO6761 ]</t>
  </si>
  <si>
    <t>SPO7155</t>
  </si>
  <si>
    <t xml:space="preserve">  [ SPO7155 ]</t>
  </si>
  <si>
    <t>TR189602</t>
  </si>
  <si>
    <t xml:space="preserve">  [ T189602b ]</t>
  </si>
  <si>
    <t xml:space="preserve">  [ T3491111 ]</t>
  </si>
  <si>
    <t xml:space="preserve">  [ test ]</t>
  </si>
  <si>
    <t>test1</t>
  </si>
  <si>
    <t xml:space="preserve">  [ Test1 ]</t>
  </si>
  <si>
    <t>test2</t>
  </si>
  <si>
    <t xml:space="preserve">  [ test2 ]</t>
  </si>
  <si>
    <t>test3</t>
  </si>
  <si>
    <t xml:space="preserve">  [ test3 ]</t>
  </si>
  <si>
    <t>test4</t>
  </si>
  <si>
    <t xml:space="preserve">  [ test4 ]</t>
  </si>
  <si>
    <t>TestA</t>
  </si>
  <si>
    <t xml:space="preserve">  [ TestA ]</t>
  </si>
  <si>
    <t>TestB</t>
  </si>
  <si>
    <t xml:space="preserve">  [ TestB ]</t>
  </si>
  <si>
    <t>QD34660 (TestC)</t>
  </si>
  <si>
    <t xml:space="preserve">  [ TestC ]</t>
  </si>
  <si>
    <t>TR180002</t>
  </si>
  <si>
    <t xml:space="preserve">  [ TR180002 ]</t>
  </si>
  <si>
    <t xml:space="preserve">  [ TR180006 ]</t>
  </si>
  <si>
    <t>TR180007</t>
  </si>
  <si>
    <t xml:space="preserve">  [ TR180007 ]</t>
  </si>
  <si>
    <t>TR180008</t>
  </si>
  <si>
    <t xml:space="preserve">  [ TR180008 ]</t>
  </si>
  <si>
    <t>TR180010</t>
  </si>
  <si>
    <t xml:space="preserve">  [ TR180010 ]</t>
  </si>
  <si>
    <t>TR180011</t>
  </si>
  <si>
    <t xml:space="preserve">  [ TR180011 ]</t>
  </si>
  <si>
    <t>TRA180013</t>
  </si>
  <si>
    <t xml:space="preserve">  [ TR180013 ]</t>
  </si>
  <si>
    <t>TR180014</t>
  </si>
  <si>
    <t xml:space="preserve">  [ TR180014 ]</t>
  </si>
  <si>
    <t>TRA180016</t>
  </si>
  <si>
    <t xml:space="preserve">  [ TR180016 ]</t>
  </si>
  <si>
    <t>TR180018</t>
  </si>
  <si>
    <t xml:space="preserve">  [ TR180018 ]</t>
  </si>
  <si>
    <t>TRA180025</t>
  </si>
  <si>
    <t xml:space="preserve">  [ TR180025 ]</t>
  </si>
  <si>
    <t xml:space="preserve">  [ TR180028 ]</t>
  </si>
  <si>
    <t>TRA180031</t>
  </si>
  <si>
    <t xml:space="preserve">  [ TR180031 ]</t>
  </si>
  <si>
    <t xml:space="preserve">  [ TR180032 ]</t>
  </si>
  <si>
    <t>TR180033</t>
  </si>
  <si>
    <t xml:space="preserve">  [ TR180033 ]</t>
  </si>
  <si>
    <t>TRA180034</t>
  </si>
  <si>
    <t xml:space="preserve">  [ TR180034 ]</t>
  </si>
  <si>
    <t>TR180035</t>
  </si>
  <si>
    <t xml:space="preserve">  [ TR180035 ]</t>
  </si>
  <si>
    <t>TRA185074</t>
  </si>
  <si>
    <t xml:space="preserve">  [ TR185074 ]</t>
  </si>
  <si>
    <t>TRA185075</t>
  </si>
  <si>
    <t xml:space="preserve">  [ TR185075 ]</t>
  </si>
  <si>
    <t>TRA185133</t>
  </si>
  <si>
    <t xml:space="preserve">  [ TR185133 ]</t>
  </si>
  <si>
    <t>TRA185170</t>
  </si>
  <si>
    <t xml:space="preserve">  [ TR185170 ]</t>
  </si>
  <si>
    <t>TR185181</t>
  </si>
  <si>
    <t xml:space="preserve">  [ TR185181 ]</t>
  </si>
  <si>
    <t>TR185460</t>
  </si>
  <si>
    <t xml:space="preserve">  [ TR185460 ]</t>
  </si>
  <si>
    <t>TRA185474</t>
  </si>
  <si>
    <t xml:space="preserve">  [ TR185474 ]</t>
  </si>
  <si>
    <t>TR185633</t>
  </si>
  <si>
    <t xml:space="preserve">  [ TR185633 ]</t>
  </si>
  <si>
    <t>TR186062</t>
  </si>
  <si>
    <t xml:space="preserve">  [ TR186062 ]</t>
  </si>
  <si>
    <t xml:space="preserve">  [ TR189602 ]</t>
  </si>
  <si>
    <t>TRA189604</t>
  </si>
  <si>
    <t xml:space="preserve">  [ TR189604 ]</t>
  </si>
  <si>
    <t>TR189723</t>
  </si>
  <si>
    <t xml:space="preserve">  [ TR189723 ]</t>
  </si>
  <si>
    <t xml:space="preserve">  [ W701669 ]</t>
  </si>
  <si>
    <t>Next Blank Line</t>
  </si>
  <si>
    <t>C:\Users\kgodyn\Documents\Actom\Actom-PMV-GUI\src\Inputs\Designs</t>
  </si>
  <si>
    <t>File Path To Designs</t>
  </si>
  <si>
    <t>Selected File Name</t>
  </si>
  <si>
    <t xml:space="preserve"> </t>
  </si>
  <si>
    <t>Base Path</t>
  </si>
  <si>
    <t>Works Order Number</t>
  </si>
  <si>
    <t>Stator LX Number (Example: LX2000)</t>
  </si>
  <si>
    <t>[kW]</t>
  </si>
  <si>
    <t>Output Power</t>
  </si>
  <si>
    <t>Number of poles</t>
  </si>
  <si>
    <t>[V]</t>
  </si>
  <si>
    <t>Line Voltage</t>
  </si>
  <si>
    <t>[Hz]</t>
  </si>
  <si>
    <t>Frequency</t>
  </si>
  <si>
    <t>Phases of Supply Voltage</t>
  </si>
  <si>
    <t>Insulation Class? (F/H)</t>
  </si>
  <si>
    <t>[mm]</t>
  </si>
  <si>
    <t>OD Stator (F3: PCD of inner row of pipes)</t>
  </si>
  <si>
    <t>ID Stator</t>
  </si>
  <si>
    <t>Gross Stator Core length</t>
  </si>
  <si>
    <t>Number of stator ducts</t>
  </si>
  <si>
    <t>Width of stator ducts</t>
  </si>
  <si>
    <t>Stacking factor of Stator Core</t>
  </si>
  <si>
    <t>S</t>
  </si>
  <si>
    <t>Number of parallel circuits</t>
  </si>
  <si>
    <t>l</t>
  </si>
  <si>
    <t>Stator Winding Type (l = Lap / w = Wave/ p = PAM)</t>
  </si>
  <si>
    <t>Droop (0 = Default)</t>
  </si>
  <si>
    <t>Endwinding Coil Separation (0 = Default)</t>
  </si>
  <si>
    <t>Pin Diameter (0 = Default)</t>
  </si>
  <si>
    <t>Number of Stator slots</t>
  </si>
  <si>
    <t>Coil Pitch [Slots]</t>
  </si>
  <si>
    <t>Number of coil sections in series (2 for Zig-zag coils)</t>
  </si>
  <si>
    <t>Number of conductors per coil side</t>
  </si>
  <si>
    <t>Stator slot opening width</t>
  </si>
  <si>
    <t>Stator slot width</t>
  </si>
  <si>
    <t>Total Stator slot depth (Includes Wedge &amp; Bridge)</t>
  </si>
  <si>
    <t>Bridge depth Stator</t>
  </si>
  <si>
    <t>Wedge depth (Excluding Bridge!) (-1 = Default)</t>
  </si>
  <si>
    <t>Tangential depth of Stator Slot Wedge Groove</t>
  </si>
  <si>
    <t>Number of par. Wires per turn in Stator Coilside</t>
  </si>
  <si>
    <t>Number of strands in width of conductor (1 for Zig-zag)</t>
  </si>
  <si>
    <t>Copper strand width (-1 = Program Calculates (Slow Speed Based))</t>
  </si>
  <si>
    <t>Copper strand depth (-1 = Program Calculates)</t>
  </si>
  <si>
    <t>Stator Insulation Specification (Etc. IS322F3C3)</t>
  </si>
  <si>
    <t>Material specification of Stator Cu</t>
  </si>
  <si>
    <t>Insulation on bare strand (-1 = Program Calculates)</t>
  </si>
  <si>
    <t>Number of Stator Slot Liner in the Width (Default = 2)</t>
  </si>
  <si>
    <t>Number of Stator Slot Liner in the Depth (Default = 3)</t>
  </si>
  <si>
    <t>Thickness of Stator Slot Separator  (-1 = Program Calculates)</t>
  </si>
  <si>
    <t>Width of tooth support (-1 = Default)</t>
  </si>
  <si>
    <t>Support Ring Factor</t>
  </si>
  <si>
    <t>Packing Block Factor</t>
  </si>
  <si>
    <t>[kg]</t>
  </si>
  <si>
    <t>Maximum Mass of Cu Drum</t>
  </si>
  <si>
    <t>Extra Length per Loop</t>
  </si>
  <si>
    <t>Extra Length per Drum</t>
  </si>
  <si>
    <t>Extra Coils for Testing per Contract</t>
  </si>
  <si>
    <t>Number of Bus Rings</t>
  </si>
  <si>
    <t>Width of Bus Rings</t>
  </si>
  <si>
    <t>Distance from Nose to Clamping Block/Ring (Default = 50)</t>
  </si>
  <si>
    <t>Distance between Bus Rings (F3/F6 =15; F11=17; F13=20; F15=23; else 5)</t>
  </si>
  <si>
    <t>Support Block Clamping Width (Default 40 for V &gt; 1000; else 0)</t>
  </si>
  <si>
    <t>Mean Length Turn (MLT (Default=0.0))</t>
  </si>
  <si>
    <t>Axial projection of Non-connection end overhang (Default=0.0)</t>
  </si>
  <si>
    <t>O.D. of Stator winding (Default=0.0)</t>
  </si>
  <si>
    <t>Project Reference - Customer</t>
  </si>
  <si>
    <t>Project Reference - End User</t>
  </si>
  <si>
    <t>N</t>
  </si>
  <si>
    <t>Design letter per IEC60034 or NEMA MG1</t>
  </si>
  <si>
    <t>TTTTT</t>
  </si>
  <si>
    <t>Tolerances: Eff/PF/POT/LR Current/LR Torque (T;N)</t>
  </si>
  <si>
    <t>[pu]</t>
  </si>
  <si>
    <t>Specified value of Locked Rotor Current</t>
  </si>
  <si>
    <t>Specified value of Locked Rotor Torque</t>
  </si>
  <si>
    <t xml:space="preserve">Specified minimum pull-out torque </t>
  </si>
  <si>
    <t>[r/min]</t>
  </si>
  <si>
    <t>Specified Maximum Overspeed</t>
  </si>
  <si>
    <t>IP rating</t>
  </si>
  <si>
    <t>IC4A1A1</t>
  </si>
  <si>
    <t>Type of Cooling</t>
  </si>
  <si>
    <t>IM1001</t>
  </si>
  <si>
    <t>Mounting</t>
  </si>
  <si>
    <t>Ventilation Method Inside m/c (0 = SER; 1 = DER)</t>
  </si>
  <si>
    <t>[C]</t>
  </si>
  <si>
    <t>Cooler temperature differential</t>
  </si>
  <si>
    <t>Ambient</t>
  </si>
  <si>
    <t>[m]</t>
  </si>
  <si>
    <t>Altitude above Sea Level</t>
  </si>
  <si>
    <t>Allowable Temperature Rise of Stator by Resistance</t>
  </si>
  <si>
    <t>Allowable Temperature Rise of Stator by ETD</t>
  </si>
  <si>
    <t>Allowable Temperature Rise of Rotor</t>
  </si>
  <si>
    <t>Temperature of Eff. Calc. for Stator</t>
  </si>
  <si>
    <t>Temperature of Eff. Calc. for Rotor</t>
  </si>
  <si>
    <t>M530</t>
  </si>
  <si>
    <t>Number of Stator segments</t>
  </si>
  <si>
    <t>Number of Rotor segments</t>
  </si>
  <si>
    <t>Thickness of Stator Laminations</t>
  </si>
  <si>
    <t>Thickness of Rotor Laminations</t>
  </si>
  <si>
    <t>BPS2009</t>
  </si>
  <si>
    <t>Shaft Material</t>
  </si>
  <si>
    <t>Spider type of construction (Arms on Shaft / Mill from Solid)</t>
  </si>
  <si>
    <t>Gap</t>
  </si>
  <si>
    <t>ID of Rotor</t>
  </si>
  <si>
    <t>Number of Shaft Ribs</t>
  </si>
  <si>
    <t>Width of Shaft Ribs</t>
  </si>
  <si>
    <t>Axial Length of Rotor Arms (Default: LCS + 150)</t>
  </si>
  <si>
    <t>OD of Shaft under arms</t>
  </si>
  <si>
    <t>Rotor LX Number (Example: LX2001)</t>
  </si>
  <si>
    <t>Number of rotor ducts</t>
  </si>
  <si>
    <t>Width of rotor ducts</t>
  </si>
  <si>
    <t>Stacking factor of Rotor Core</t>
  </si>
  <si>
    <t>Number of Rotor slots</t>
  </si>
  <si>
    <t>NRA</t>
  </si>
  <si>
    <t>Rotor Skew in Terms of Stator Slot Pitches (0 = Not Skew)</t>
  </si>
  <si>
    <t>C</t>
  </si>
  <si>
    <t>Rotor Slot Opening Offset</t>
  </si>
  <si>
    <t>Rotor Slot Opening         (S)</t>
  </si>
  <si>
    <t>Rotor Bridge Depth         (A)</t>
  </si>
  <si>
    <t>Rotor Slot Depth at         (A1)        (For NLV &amp; NLG)</t>
  </si>
  <si>
    <t>Rotor Slot Width             (B1)        (For NLG &amp; NTH)</t>
  </si>
  <si>
    <t>Rotor Slot Deph              (T1)        (Total Depth - Bridge)</t>
  </si>
  <si>
    <t>Bar Dia. Outer Cage       (D)</t>
  </si>
  <si>
    <t>Bar Dia. Inner Cage        (D1)</t>
  </si>
  <si>
    <t>Rotor Bar Web Width                   (For L- &amp; T-Bars)</t>
  </si>
  <si>
    <t>Thickness of bottom rotor slot packing</t>
  </si>
  <si>
    <t>Resistivity of Rotor Bars (Outer)</t>
  </si>
  <si>
    <t>[1/K]</t>
  </si>
  <si>
    <t>Temperature Coefficient of Resistivity of Rotor Bars (Outer)</t>
  </si>
  <si>
    <t>Bar Length (Outer) (Finished)</t>
  </si>
  <si>
    <t>Resistivity of Rotor Bars (Inner)    (For NLV)</t>
  </si>
  <si>
    <t>Temperature Coefficient of Resistivity of Rotor Bars (Inner)   (For NLV)</t>
  </si>
  <si>
    <t>Bar Length (Inner) (Finished)       (For NLV)</t>
  </si>
  <si>
    <t>Material of Rotor Endrings           (Outer)</t>
  </si>
  <si>
    <t>Temperature Coefficient of Resistivity of Rotor Endrings (Outer)</t>
  </si>
  <si>
    <t>Width of Cage Endring                (Outer)</t>
  </si>
  <si>
    <t>Depth of Cage Endring                (Outer)</t>
  </si>
  <si>
    <t>Mean Diameter of Cage Endring (Outer)</t>
  </si>
  <si>
    <t>Material of Rotor Endrings           (Inner)     (For NLV)</t>
  </si>
  <si>
    <t>Temperature Coefficient of Resistivity of Rotor Endrings (Inner)  (For NLV)</t>
  </si>
  <si>
    <t>Width of Cage Endring                (Inner)     (For NLV)</t>
  </si>
  <si>
    <t>Depth of Cage Endring                (Inner)     (For NLV)</t>
  </si>
  <si>
    <t>Mean Diameter of Cage Endring (Inner)     (For NLV)</t>
  </si>
  <si>
    <t>Number of Rotor Air Ducts</t>
  </si>
  <si>
    <t>Rotor Air Duct Width (Top (Top &gt; Bottom))</t>
  </si>
  <si>
    <t>Rotor Air Duct Width (Bottom)</t>
  </si>
  <si>
    <t>Rotor Air Duct Height</t>
  </si>
  <si>
    <t>Rotor Air Duct Outer Diameter</t>
  </si>
  <si>
    <t>Rotor Winding Type (Wave)</t>
  </si>
  <si>
    <t>Number of effective conductors per Rotor Slot (2 or 4)</t>
  </si>
  <si>
    <t>Number of parallel circuits in Rotor Winding</t>
  </si>
  <si>
    <t>Wire per Rotor Conductor</t>
  </si>
  <si>
    <t>Wire width of Rotor Conductor</t>
  </si>
  <si>
    <t>Wire depth of Rotor Conductor</t>
  </si>
  <si>
    <t>Rotor MLT (Of Wound Rotor)</t>
  </si>
  <si>
    <t xml:space="preserve">Rotor Pitch </t>
  </si>
  <si>
    <t>Ins. Discr</t>
  </si>
  <si>
    <t>Rotor Liner Thickness</t>
  </si>
  <si>
    <t>Rotor Wedge Thickness</t>
  </si>
  <si>
    <t>Rotor Insulation Specification</t>
  </si>
  <si>
    <t>Coefficient of Rotor Endwinding Reactance</t>
  </si>
  <si>
    <t>Direct concact area ratio for cage bulb</t>
  </si>
  <si>
    <t>Load in pu for Point 1</t>
  </si>
  <si>
    <t>Load in pu for Point 2</t>
  </si>
  <si>
    <t>Load in pu for Point 3</t>
  </si>
  <si>
    <t>Load in pu for Point 4</t>
  </si>
  <si>
    <t>Load in pu for Point 5</t>
  </si>
  <si>
    <t>Number of Voltages for Run-up (1 to 3)</t>
  </si>
  <si>
    <t>Enter pu Voltage for Run-up 1</t>
  </si>
  <si>
    <t>Enter pu Voltage for Run-up 2</t>
  </si>
  <si>
    <t>Enter pu Voltage for Run-up 3</t>
  </si>
  <si>
    <t>External Reactance for Run-up 1</t>
  </si>
  <si>
    <t>External Reactance for Run-up 2</t>
  </si>
  <si>
    <t>External Reactance for Run-up 3</t>
  </si>
  <si>
    <t>Load in pu at full load speed</t>
  </si>
  <si>
    <t>[kg.m^2]</t>
  </si>
  <si>
    <t xml:space="preserve">Load Inertia </t>
  </si>
  <si>
    <t xml:space="preserve">Load 0.0 [pu] speed (Stillstand) </t>
  </si>
  <si>
    <t xml:space="preserve">Load 0.0 [pu] speed (Running) </t>
  </si>
  <si>
    <t>Load 0.1 [pu] speed</t>
  </si>
  <si>
    <t>Load 0.2 [pu] speed</t>
  </si>
  <si>
    <t>Load 0.3 [pu] speed</t>
  </si>
  <si>
    <t>Load 0.4 [pu] speed</t>
  </si>
  <si>
    <t>Load 0.5 [pu] speed</t>
  </si>
  <si>
    <t>Load 0.6 [pu] speed</t>
  </si>
  <si>
    <t>Load 0.7 [pu] speed</t>
  </si>
  <si>
    <t>Load 0.8 [pu] speed</t>
  </si>
  <si>
    <t>Load 0.9 [pu] speed</t>
  </si>
  <si>
    <t>Load 0.95 [pu] speed</t>
  </si>
  <si>
    <t>OD of Torque Disc</t>
  </si>
  <si>
    <t>Width of Torque Disc</t>
  </si>
  <si>
    <t>Steel</t>
  </si>
  <si>
    <t>Material of Torque Disc</t>
  </si>
  <si>
    <t>Friction &amp; Windage Loss</t>
  </si>
  <si>
    <t>Number of Specified airflows thru duscts</t>
  </si>
  <si>
    <t>[m^3/s]</t>
  </si>
  <si>
    <t>Air Through Ducts</t>
  </si>
  <si>
    <t>Number of fans in internal air circuit</t>
  </si>
  <si>
    <t>Outside diameter of Internal fan</t>
  </si>
  <si>
    <t>Minimum Stator Slot Clearance (Width)</t>
  </si>
  <si>
    <t>Minimum Stator Slot Clearance (Depth)</t>
  </si>
  <si>
    <t>Total Thickness of Stator Wire Covering at End</t>
  </si>
  <si>
    <t>Total Thickness of Stator Turn Taping at End</t>
  </si>
  <si>
    <t>Bulge Allowance in Width for Stator Winding</t>
  </si>
  <si>
    <t>Thickness of Main Insulation in End-winding</t>
  </si>
  <si>
    <t>Minimum Clearance between Coils in Stator End-winding</t>
  </si>
  <si>
    <t>Cone Angle of Stator Winding Top</t>
  </si>
  <si>
    <t>Nose Angle</t>
  </si>
  <si>
    <t>Factor for Iron Loss (Default=1.00)</t>
  </si>
  <si>
    <t>[kW/(kg.K)]</t>
  </si>
  <si>
    <t>Specific Heat for:  Copper</t>
  </si>
  <si>
    <t>Specific Heat for:  Rotor Bars (Outer)</t>
  </si>
  <si>
    <t>Specific Heat for:  Rotor End Rings (Outer)</t>
  </si>
  <si>
    <t>Specific Heat for:  Rotor Bars (Inner)</t>
  </si>
  <si>
    <t>Specific Heat for:  Rotor End Rings (Inner)</t>
  </si>
  <si>
    <t>[kg/m^3]</t>
  </si>
  <si>
    <t>Density of: Cu</t>
  </si>
  <si>
    <t>Density of: Fe</t>
  </si>
  <si>
    <t>Density of: Outer Bar of Rotor</t>
  </si>
  <si>
    <t>Density of: Outer Ring of Rotor</t>
  </si>
  <si>
    <t>Density of: Inner Bar of Rotor</t>
  </si>
  <si>
    <t>Density of: Inner Ring of Rotor</t>
  </si>
  <si>
    <t>Number of balance/torque discs per machine</t>
  </si>
  <si>
    <t>HAE1 of Original SMART Programme</t>
  </si>
  <si>
    <t>HAE2 of Original SMART Programme</t>
  </si>
  <si>
    <t>[?]</t>
  </si>
  <si>
    <t>[Ohm/...]</t>
  </si>
  <si>
    <t>kW Loss per disc @ slip=1</t>
  </si>
  <si>
    <t>Separation between Torque Disc and S/C Ring</t>
  </si>
  <si>
    <t>Engineer ("DW", "PMV", "PR", "GM", "DM" &amp;  "OTHER" (IN CAPITALS)</t>
  </si>
  <si>
    <t>Type of rotor (0 = Cage, 1 = Slipring)</t>
  </si>
  <si>
    <t>Frame Designation (Use "/" in UNIBOX frame size name)</t>
  </si>
  <si>
    <t>Motor for VSD drive (1 = Yes, 0 = No)</t>
  </si>
  <si>
    <t>Stator Connection (D = Delta , S = Star)</t>
  </si>
  <si>
    <t>Different Leg Lengths (1= Yes (for 2 &amp; 4-Pole), 2 = No, -1 = Program Calc.)</t>
  </si>
  <si>
    <t>Magnetic Wedges? (1 = Yes, 0 = No)</t>
  </si>
  <si>
    <t>Wedging method for Stator Slot (5 = Thick Round, 3 = Triangle, 1 = Plain Thin)</t>
  </si>
  <si>
    <t>Radial depth of Stator Slot Wedge Groove (etc. 3.23, 3.5, 4.5)</t>
  </si>
  <si>
    <t>Packer thickness below Wedge (-1 = Default)</t>
  </si>
  <si>
    <t>Stator Tool (0 = Slow Speed, 1 = High Speed or Compound)</t>
  </si>
  <si>
    <t xml:space="preserve">Main Wall Insulation thickness (Total in Width, -1 = Program Calculates) </t>
  </si>
  <si>
    <t>Corona Shield Thickness  (Total in Width, -1 = Program Calculates)</t>
  </si>
  <si>
    <t>Thickness of stator slot liner per side (Sheet thickness, -1 = Program Calculates)</t>
  </si>
  <si>
    <t>Packer thickness as bottom of Stator Slot (-1 = Default)</t>
  </si>
  <si>
    <t>Design (0 = IEC60034, 1 = NEMA, 2 = Old 0.5%)</t>
  </si>
  <si>
    <t>Area (5 = Safe / 2, 1, 0 = Hazardous)</t>
  </si>
  <si>
    <t>Lam Material Stator ("M400" or "M530")</t>
  </si>
  <si>
    <t>Lam Material Rotor ("M400" or "M530")</t>
  </si>
  <si>
    <t>Mode (0 = Motor, 1 = Generating)</t>
  </si>
  <si>
    <t>Rotor bar type (R = Rect., L = L-Bar, T = T-Bar, NLV=D.-Cage, NRA, NTH, NLG)</t>
  </si>
  <si>
    <t>Rotor Bar Insulated (0 = No (Default), 1 = Yes)</t>
  </si>
  <si>
    <t>Position of Rotor Slot Opening (C=Central, L=Leading or T=Trailing)</t>
  </si>
  <si>
    <t>Rotor Slot Web Width     (S1)        (For L- &amp; T-Bars, NLV, NLG)</t>
  </si>
  <si>
    <t>Rotor Web Depth            (H)          (For L- &amp; T-Bars, NTH)</t>
  </si>
  <si>
    <t>Rotor Slot Width             (B)          (Bulb or Main, for Rectangular, L- &amp; T-Bar)</t>
  </si>
  <si>
    <t>Rotor Bar Bulb Width / Dia. Outer Bar (For Rectangular, L- &amp; T-Bar, NRA / Dia of Outer Bar for NLV)</t>
  </si>
  <si>
    <t>Rotor Bar Bulb Depth / Dia. Inner Bar (For Rectangular, L- &amp; T-Bar, NRA / Dia. of Inner Bar for NLV)</t>
  </si>
  <si>
    <t>Rotor Connection (D = Delta , S = Star)</t>
  </si>
  <si>
    <t>Number of Extra Load Points</t>
  </si>
  <si>
    <t>Load Type (1 = Square, 2 = Constant, 3 = Data)</t>
  </si>
  <si>
    <t>Load 0.995 [pu] speed</t>
  </si>
  <si>
    <t xml:space="preserve">Ratio Inertias (1.15 = C, 1.2 = S/R, 1.0 = MS4, Other = Rotor Inertia).  Ratio = (Total Rotor) / (Core + Arms + Shaft) </t>
  </si>
  <si>
    <t>Number of Stray Load Loss (0, 1 or 3)</t>
  </si>
  <si>
    <t>Factor for Stray Load Loss                                    (Determining St. &amp; Rt. T. Rise, Default=1.00)</t>
  </si>
  <si>
    <t>Factor for Iron Loss and Stator Stray Load Loss   (Determening Stator Temp Rise, Default=0.42)</t>
  </si>
  <si>
    <t>Factor for Rotor Copper Loss                                (Determening Stator Temp Rise, Default=0.35)</t>
  </si>
  <si>
    <t>Factor for Iron Loss and Rotor Stray Load Loss    (Determening RotorTemp Rise, Default=0.30)</t>
  </si>
  <si>
    <t>Factor for Stator Copper Loss                               (Determening Rotor Temp Rise, Default=0.50)</t>
  </si>
  <si>
    <t>Specific Heat for:  Steel (Fe = 0.412, Disc EDS ~ 0.49)</t>
  </si>
  <si>
    <r>
      <t xml:space="preserve">Bridge Angle                                (0 for Bar Type R, L &amp; T, NLV, NRA, NTH, NLG, </t>
    </r>
    <r>
      <rPr>
        <i/>
        <sz val="11"/>
        <color rgb="FFFF0000"/>
        <rFont val="Calibri"/>
        <family val="2"/>
      </rPr>
      <t>NST</t>
    </r>
    <r>
      <rPr>
        <i/>
        <sz val="11"/>
        <rFont val="Calibri"/>
        <family val="2"/>
      </rPr>
      <t>)</t>
    </r>
  </si>
  <si>
    <t xml:space="preserve">wonum : </t>
  </si>
  <si>
    <t xml:space="preserve">stlx : </t>
  </si>
  <si>
    <t xml:space="preserve">rotwdg : </t>
  </si>
  <si>
    <t xml:space="preserve">frmsiz : </t>
  </si>
  <si>
    <t xml:space="preserve">kw : </t>
  </si>
  <si>
    <t xml:space="preserve">poles : </t>
  </si>
  <si>
    <t xml:space="preserve">vline : </t>
  </si>
  <si>
    <t xml:space="preserve">fhz : </t>
  </si>
  <si>
    <t xml:space="preserve">phases : </t>
  </si>
  <si>
    <t xml:space="preserve">vsd : </t>
  </si>
  <si>
    <t xml:space="preserve">ins_c : </t>
  </si>
  <si>
    <t xml:space="preserve">dos : </t>
  </si>
  <si>
    <t xml:space="preserve">dg : </t>
  </si>
  <si>
    <t xml:space="preserve">lcs : </t>
  </si>
  <si>
    <t xml:space="preserve">nds : </t>
  </si>
  <si>
    <t xml:space="preserve">wds : </t>
  </si>
  <si>
    <t xml:space="preserve">stacks : </t>
  </si>
  <si>
    <t xml:space="preserve">sords : </t>
  </si>
  <si>
    <t xml:space="preserve">npcs : </t>
  </si>
  <si>
    <t xml:space="preserve">laps : </t>
  </si>
  <si>
    <t xml:space="preserve">drop : </t>
  </si>
  <si>
    <t xml:space="preserve">legl : </t>
  </si>
  <si>
    <t xml:space="preserve">ewcs : </t>
  </si>
  <si>
    <t xml:space="preserve">pindia : </t>
  </si>
  <si>
    <t xml:space="preserve">nss : </t>
  </si>
  <si>
    <t xml:space="preserve">chord : </t>
  </si>
  <si>
    <t xml:space="preserve">sersec : </t>
  </si>
  <si>
    <t xml:space="preserve">tpcs : </t>
  </si>
  <si>
    <t xml:space="preserve">wslops : </t>
  </si>
  <si>
    <t xml:space="preserve">wslots : </t>
  </si>
  <si>
    <t xml:space="preserve">dslots : </t>
  </si>
  <si>
    <t xml:space="preserve">bridgs : </t>
  </si>
  <si>
    <t xml:space="preserve">wedges : </t>
  </si>
  <si>
    <t xml:space="preserve">magweg : </t>
  </si>
  <si>
    <t xml:space="preserve">wegmet : </t>
  </si>
  <si>
    <t xml:space="preserve">rgroov : </t>
  </si>
  <si>
    <t xml:space="preserve">tgroov : </t>
  </si>
  <si>
    <t xml:space="preserve">tpkts : </t>
  </si>
  <si>
    <t xml:space="preserve">npws : </t>
  </si>
  <si>
    <t xml:space="preserve">nwls : </t>
  </si>
  <si>
    <t xml:space="preserve">tool : </t>
  </si>
  <si>
    <t xml:space="preserve">wcus : </t>
  </si>
  <si>
    <t xml:space="preserve">tcus : </t>
  </si>
  <si>
    <t xml:space="preserve">iss : </t>
  </si>
  <si>
    <t xml:space="preserve">matsw : </t>
  </si>
  <si>
    <t xml:space="preserve">tiws : </t>
  </si>
  <si>
    <t xml:space="preserve">tims : </t>
  </si>
  <si>
    <t xml:space="preserve">cor : </t>
  </si>
  <si>
    <t xml:space="preserve">tlins : </t>
  </si>
  <si>
    <t xml:space="preserve">nwlins : </t>
  </si>
  <si>
    <t xml:space="preserve">ndlins : </t>
  </si>
  <si>
    <t xml:space="preserve">sep : </t>
  </si>
  <si>
    <t xml:space="preserve">tpkbs : </t>
  </si>
  <si>
    <t xml:space="preserve">tclam : </t>
  </si>
  <si>
    <t xml:space="preserve">srf : </t>
  </si>
  <si>
    <t xml:space="preserve">pbf : </t>
  </si>
  <si>
    <t xml:space="preserve">mmcud : </t>
  </si>
  <si>
    <t xml:space="preserve">elpl : </t>
  </si>
  <si>
    <t xml:space="preserve">elpd : </t>
  </si>
  <si>
    <t xml:space="preserve">ecft : </t>
  </si>
  <si>
    <t xml:space="preserve">nbr : </t>
  </si>
  <si>
    <t xml:space="preserve">wbr : </t>
  </si>
  <si>
    <t xml:space="preserve">dntcb : </t>
  </si>
  <si>
    <t xml:space="preserve">dbbr : </t>
  </si>
  <si>
    <t xml:space="preserve">sbcw : </t>
  </si>
  <si>
    <t xml:space="preserve">mlts : </t>
  </si>
  <si>
    <t xml:space="preserve">overh : </t>
  </si>
  <si>
    <t xml:space="preserve">swod : </t>
  </si>
  <si>
    <t xml:space="preserve">proj_c : </t>
  </si>
  <si>
    <t xml:space="preserve">proj_e : </t>
  </si>
  <si>
    <t xml:space="preserve">destyp : </t>
  </si>
  <si>
    <t xml:space="preserve">deslet : </t>
  </si>
  <si>
    <t xml:space="preserve">toler : </t>
  </si>
  <si>
    <t xml:space="preserve">spsti : </t>
  </si>
  <si>
    <t xml:space="preserve">spstt : </t>
  </si>
  <si>
    <t xml:space="preserve">sppot : </t>
  </si>
  <si>
    <t xml:space="preserve">overpm : </t>
  </si>
  <si>
    <t xml:space="preserve">ip : </t>
  </si>
  <si>
    <t xml:space="preserve">ic : </t>
  </si>
  <si>
    <t xml:space="preserve">im : </t>
  </si>
  <si>
    <t xml:space="preserve">vent : </t>
  </si>
  <si>
    <t xml:space="preserve">tcool : </t>
  </si>
  <si>
    <t xml:space="preserve">area : </t>
  </si>
  <si>
    <t xml:space="preserve">tamb : </t>
  </si>
  <si>
    <t xml:space="preserve">alt : </t>
  </si>
  <si>
    <t xml:space="preserve">tmaxs : </t>
  </si>
  <si>
    <t xml:space="preserve">etmaxs : </t>
  </si>
  <si>
    <t xml:space="preserve">tmaxr : </t>
  </si>
  <si>
    <t xml:space="preserve">sptems : </t>
  </si>
  <si>
    <t xml:space="preserve">sptemr : </t>
  </si>
  <si>
    <t xml:space="preserve">matsc : </t>
  </si>
  <si>
    <t xml:space="preserve">matrc : </t>
  </si>
  <si>
    <t xml:space="preserve">nsegs : </t>
  </si>
  <si>
    <t xml:space="preserve">nsegr : </t>
  </si>
  <si>
    <t xml:space="preserve">tlams : </t>
  </si>
  <si>
    <t xml:space="preserve">tlamr : </t>
  </si>
  <si>
    <t xml:space="preserve">matshf : </t>
  </si>
  <si>
    <t xml:space="preserve">spityp : </t>
  </si>
  <si>
    <t xml:space="preserve">gap : </t>
  </si>
  <si>
    <t xml:space="preserve">dir : </t>
  </si>
  <si>
    <t xml:space="preserve">nsharm : </t>
  </si>
  <si>
    <t xml:space="preserve">wsharm : </t>
  </si>
  <si>
    <t xml:space="preserve">lsharm : </t>
  </si>
  <si>
    <t xml:space="preserve">shdia : </t>
  </si>
  <si>
    <t xml:space="preserve">rtlx : </t>
  </si>
  <si>
    <t xml:space="preserve">mode : </t>
  </si>
  <si>
    <t xml:space="preserve">ndr : </t>
  </si>
  <si>
    <t xml:space="preserve">wdr : </t>
  </si>
  <si>
    <t xml:space="preserve">stackr : </t>
  </si>
  <si>
    <t xml:space="preserve">nsr : </t>
  </si>
  <si>
    <t xml:space="preserve">bartyp : </t>
  </si>
  <si>
    <t xml:space="preserve">rotins : </t>
  </si>
  <si>
    <t xml:space="preserve">skew : </t>
  </si>
  <si>
    <t xml:space="preserve">pslopr : </t>
  </si>
  <si>
    <t xml:space="preserve">oslopr : </t>
  </si>
  <si>
    <t xml:space="preserve">thetar : </t>
  </si>
  <si>
    <t xml:space="preserve">wslopr : </t>
  </si>
  <si>
    <t xml:space="preserve">bridgr : </t>
  </si>
  <si>
    <t xml:space="preserve">wswl : </t>
  </si>
  <si>
    <t xml:space="preserve">a1 : </t>
  </si>
  <si>
    <t xml:space="preserve">0 : </t>
  </si>
  <si>
    <t xml:space="preserve">wslotr : </t>
  </si>
  <si>
    <t xml:space="preserve">b1 : </t>
  </si>
  <si>
    <t xml:space="preserve">dslotr : </t>
  </si>
  <si>
    <t xml:space="preserve">d : </t>
  </si>
  <si>
    <t xml:space="preserve">d1 : </t>
  </si>
  <si>
    <t xml:space="preserve">wweb : </t>
  </si>
  <si>
    <t xml:space="preserve">wbulb : </t>
  </si>
  <si>
    <t xml:space="preserve">dbulb : </t>
  </si>
  <si>
    <t xml:space="preserve">tpkbr : </t>
  </si>
  <si>
    <t xml:space="preserve">matbar : </t>
  </si>
  <si>
    <t xml:space="preserve">tempcr : </t>
  </si>
  <si>
    <t xml:space="preserve">lbar : </t>
  </si>
  <si>
    <t xml:space="preserve">matbar1 : </t>
  </si>
  <si>
    <t xml:space="preserve">lbar1 : </t>
  </si>
  <si>
    <t xml:space="preserve">matrng : </t>
  </si>
  <si>
    <t xml:space="preserve">wer : </t>
  </si>
  <si>
    <t xml:space="preserve">ter : </t>
  </si>
  <si>
    <t xml:space="preserve">der : </t>
  </si>
  <si>
    <t xml:space="preserve">matrng1 : </t>
  </si>
  <si>
    <t xml:space="preserve">wer1 : </t>
  </si>
  <si>
    <t xml:space="preserve">ter1 : </t>
  </si>
  <si>
    <t xml:space="preserve">der1 : </t>
  </si>
  <si>
    <t xml:space="preserve">nduct : </t>
  </si>
  <si>
    <t xml:space="preserve">wduct : </t>
  </si>
  <si>
    <t xml:space="preserve">wduct1 : </t>
  </si>
  <si>
    <t xml:space="preserve">hduct : </t>
  </si>
  <si>
    <t xml:space="preserve">odduct : </t>
  </si>
  <si>
    <t xml:space="preserve">lapr : </t>
  </si>
  <si>
    <t xml:space="preserve">effcr : </t>
  </si>
  <si>
    <t xml:space="preserve">npcr : </t>
  </si>
  <si>
    <t xml:space="preserve">wprc : </t>
  </si>
  <si>
    <t xml:space="preserve">wwrc : </t>
  </si>
  <si>
    <t xml:space="preserve">wdrc : </t>
  </si>
  <si>
    <t xml:space="preserve">mltr : </t>
  </si>
  <si>
    <t xml:space="preserve">pitch_r : </t>
  </si>
  <si>
    <t xml:space="preserve">ins_r : </t>
  </si>
  <si>
    <t xml:space="preserve">lin_r : </t>
  </si>
  <si>
    <t xml:space="preserve">wedger : </t>
  </si>
  <si>
    <t xml:space="preserve">isr : </t>
  </si>
  <si>
    <t xml:space="preserve">cxer : </t>
  </si>
  <si>
    <t xml:space="preserve">blbcon : </t>
  </si>
  <si>
    <t xml:space="preserve">npts : </t>
  </si>
  <si>
    <t xml:space="preserve">lpt1 : </t>
  </si>
  <si>
    <t xml:space="preserve">lpt2 : </t>
  </si>
  <si>
    <t xml:space="preserve">lpt3 : </t>
  </si>
  <si>
    <t xml:space="preserve">lpt4 : </t>
  </si>
  <si>
    <t xml:space="preserve">lpt5 : </t>
  </si>
  <si>
    <t xml:space="preserve">nvolt : </t>
  </si>
  <si>
    <t xml:space="preserve">volt1 : </t>
  </si>
  <si>
    <t xml:space="preserve">volt2 : </t>
  </si>
  <si>
    <t xml:space="preserve">volt3 : </t>
  </si>
  <si>
    <t xml:space="preserve">xext1 : </t>
  </si>
  <si>
    <t xml:space="preserve">xext2 : </t>
  </si>
  <si>
    <t xml:space="preserve">xext3 : </t>
  </si>
  <si>
    <t xml:space="preserve">load : </t>
  </si>
  <si>
    <t xml:space="preserve">fsload : </t>
  </si>
  <si>
    <t xml:space="preserve">wr2l : </t>
  </si>
  <si>
    <t xml:space="preserve">load00 : </t>
  </si>
  <si>
    <t xml:space="preserve">load0 : </t>
  </si>
  <si>
    <t xml:space="preserve">load1 : </t>
  </si>
  <si>
    <t xml:space="preserve">load2 : </t>
  </si>
  <si>
    <t xml:space="preserve">load3 : </t>
  </si>
  <si>
    <t xml:space="preserve">load4 : </t>
  </si>
  <si>
    <t xml:space="preserve">load5 : </t>
  </si>
  <si>
    <t xml:space="preserve">load6 : </t>
  </si>
  <si>
    <t xml:space="preserve">load7 : </t>
  </si>
  <si>
    <t xml:space="preserve">load8 : </t>
  </si>
  <si>
    <t xml:space="preserve">load9 : </t>
  </si>
  <si>
    <t xml:space="preserve">load10 : </t>
  </si>
  <si>
    <t xml:space="preserve">load11 : </t>
  </si>
  <si>
    <t xml:space="preserve">ndisc : </t>
  </si>
  <si>
    <t xml:space="preserve">kwdisc : </t>
  </si>
  <si>
    <t xml:space="preserve">od_disc : </t>
  </si>
  <si>
    <t xml:space="preserve">w_disc : </t>
  </si>
  <si>
    <t xml:space="preserve">mat_disc : </t>
  </si>
  <si>
    <t xml:space="preserve">wr2fac : </t>
  </si>
  <si>
    <t xml:space="preserve">wdrag : </t>
  </si>
  <si>
    <t xml:space="preserve">nair : </t>
  </si>
  <si>
    <t xml:space="preserve">air1 : </t>
  </si>
  <si>
    <t xml:space="preserve">nfan : </t>
  </si>
  <si>
    <t xml:space="preserve">dofan : </t>
  </si>
  <si>
    <t xml:space="preserve">clw : </t>
  </si>
  <si>
    <t xml:space="preserve">cld : </t>
  </si>
  <si>
    <t xml:space="preserve">tiws1 : </t>
  </si>
  <si>
    <t xml:space="preserve">tape1 : </t>
  </si>
  <si>
    <t xml:space="preserve">bulgs : </t>
  </si>
  <si>
    <t xml:space="preserve">tims1 : </t>
  </si>
  <si>
    <t xml:space="preserve">cle : </t>
  </si>
  <si>
    <t xml:space="preserve">cangl : </t>
  </si>
  <si>
    <t xml:space="preserve">nosang : </t>
  </si>
  <si>
    <t xml:space="preserve">hae1 : </t>
  </si>
  <si>
    <t xml:space="preserve">hae2 : </t>
  </si>
  <si>
    <t xml:space="preserve">pfefac : </t>
  </si>
  <si>
    <t xml:space="preserve">cpcu : </t>
  </si>
  <si>
    <t xml:space="preserve">cpob : </t>
  </si>
  <si>
    <t xml:space="preserve">cpor : </t>
  </si>
  <si>
    <t xml:space="preserve">cpib : </t>
  </si>
  <si>
    <t xml:space="preserve">cpir : </t>
  </si>
  <si>
    <t xml:space="preserve">denscu : </t>
  </si>
  <si>
    <t xml:space="preserve">densfe : </t>
  </si>
  <si>
    <t xml:space="preserve">densob2 : </t>
  </si>
  <si>
    <t xml:space="preserve">densor2 : </t>
  </si>
  <si>
    <t xml:space="preserve">densib2 : </t>
  </si>
  <si>
    <t xml:space="preserve">densir2 : </t>
  </si>
  <si>
    <t>New File Name</t>
  </si>
  <si>
    <t>IP55</t>
  </si>
  <si>
    <t>Full Base Path</t>
  </si>
  <si>
    <t>Full Path to New File</t>
  </si>
  <si>
    <t>Arms on Shaft</t>
  </si>
  <si>
    <t>LX6925</t>
  </si>
  <si>
    <t>Eskom</t>
  </si>
  <si>
    <t>Matla</t>
  </si>
  <si>
    <t xml:space="preserve">LX </t>
  </si>
  <si>
    <t>2017</t>
  </si>
  <si>
    <t xml:space="preserve">eng : </t>
  </si>
  <si>
    <t>Error</t>
  </si>
  <si>
    <t>run</t>
  </si>
  <si>
    <t xml:space="preserve">run : </t>
  </si>
  <si>
    <t>$B$127</t>
  </si>
  <si>
    <t>wslotr</t>
  </si>
  <si>
    <t>Editing</t>
  </si>
  <si>
    <t>Clearing</t>
  </si>
  <si>
    <t>Running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</si>
</sst>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i/>
      <sz val="11"/>
      <color theme="1"/>
      <name val="Arial"/>
      <family val="2"/>
    </font>
    <font>
      <i/>
      <sz val="11"/>
      <name val="Calibri"/>
      <family val="2"/>
    </font>
    <font>
      <i/>
      <sz val="11"/>
      <color rgb="FFFF0000"/>
      <name val="Calibri"/>
      <family val="2"/>
    </font>
    <font>
      <b/>
      <sz val="12"/>
      <color rgb="FF3333FF"/>
      <name val="Calibri"/>
      <family val="2"/>
      <scheme val="minor"/>
    </font>
    <font>
      <b/>
      <sz val="11"/>
      <color rgb="FF3333FF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5A3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00FF00"/>
        <bgColor indexed="64"/>
      </patternFill>
    </fill>
  </fills>
  <borders count="16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2" borderId="0" xfId="0" applyFill="1"/>
    <xf numFmtId="0" fontId="0" fillId="0" borderId="1" xfId="0" applyBorder="1"/>
    <xf numFmtId="0" fontId="0" fillId="0" borderId="0" xfId="0" applyBorder="1"/>
    <xf numFmtId="0" fontId="0" fillId="0" borderId="0" xfId="0" applyFill="1" applyBorder="1"/>
    <xf numFmtId="0" fontId="0" fillId="0" borderId="2" xfId="0" applyFill="1" applyBorder="1"/>
    <xf numFmtId="0" fontId="0" fillId="0" borderId="2" xfId="0" applyBorder="1"/>
    <xf numFmtId="0" fontId="0" fillId="3" borderId="0" xfId="0" applyFill="1" applyBorder="1"/>
    <xf numFmtId="0" fontId="0" fillId="3" borderId="0" xfId="0" applyFill="1" applyBorder="1" applyAlignment="1">
      <alignment horizontal="left"/>
    </xf>
    <xf numFmtId="0" fontId="0" fillId="4" borderId="0" xfId="0" applyFill="1" applyProtection="1"/>
    <xf numFmtId="0" fontId="0" fillId="3" borderId="0" xfId="0" applyFill="1"/>
    <xf numFmtId="49" fontId="0" fillId="3" borderId="0" xfId="0" applyNumberFormat="1" applyFill="1" applyBorder="1"/>
    <xf numFmtId="49" fontId="0" fillId="3" borderId="0" xfId="0" applyNumberFormat="1" applyFill="1" applyBorder="1" applyAlignment="1">
      <alignment horizontal="left"/>
    </xf>
    <xf numFmtId="49" fontId="0" fillId="0" borderId="0" xfId="0" applyNumberFormat="1" applyFill="1" applyBorder="1" applyAlignment="1">
      <alignment horizontal="left"/>
    </xf>
    <xf numFmtId="0" fontId="0" fillId="3" borderId="0" xfId="0" applyNumberFormat="1" applyFill="1" applyBorder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0" borderId="0" xfId="0" applyFill="1"/>
    <xf numFmtId="0" fontId="0" fillId="2" borderId="0" xfId="0" applyFill="1" applyBorder="1" applyAlignment="1"/>
    <xf numFmtId="0" fontId="1" fillId="0" borderId="0" xfId="0" applyFont="1" applyFill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0" fontId="0" fillId="2" borderId="0" xfId="0" applyFill="1" applyBorder="1"/>
    <xf numFmtId="0" fontId="0" fillId="5" borderId="4" xfId="0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0" fillId="2" borderId="5" xfId="0" applyFill="1" applyBorder="1" applyAlignment="1">
      <alignment horizontal="right"/>
    </xf>
    <xf numFmtId="0" fontId="0" fillId="2" borderId="6" xfId="0" applyFill="1" applyBorder="1" applyAlignment="1">
      <alignment horizontal="left"/>
    </xf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 applyAlignment="1">
      <alignment horizontal="right"/>
    </xf>
    <xf numFmtId="0" fontId="0" fillId="2" borderId="0" xfId="0" applyFill="1" applyBorder="1" applyAlignment="1">
      <alignment horizontal="left"/>
    </xf>
    <xf numFmtId="0" fontId="0" fillId="2" borderId="9" xfId="0" applyFill="1" applyBorder="1"/>
    <xf numFmtId="0" fontId="0" fillId="2" borderId="8" xfId="0" applyFill="1" applyBorder="1" applyAlignment="1"/>
    <xf numFmtId="0" fontId="0" fillId="5" borderId="8" xfId="0" applyFill="1" applyBorder="1" applyAlignment="1">
      <alignment horizontal="right"/>
    </xf>
    <xf numFmtId="0" fontId="2" fillId="2" borderId="0" xfId="0" applyFont="1" applyFill="1" applyBorder="1" applyAlignment="1">
      <alignment horizontal="left"/>
    </xf>
    <xf numFmtId="0" fontId="1" fillId="2" borderId="9" xfId="0" applyFont="1" applyFill="1" applyBorder="1"/>
    <xf numFmtId="0" fontId="0" fillId="5" borderId="8" xfId="0" applyFill="1" applyBorder="1" applyAlignment="1">
      <alignment horizontal="right" vertical="top"/>
    </xf>
    <xf numFmtId="0" fontId="0" fillId="6" borderId="11" xfId="0" applyFill="1" applyBorder="1" applyAlignment="1">
      <alignment horizontal="right"/>
    </xf>
    <xf numFmtId="0" fontId="0" fillId="6" borderId="12" xfId="0" applyFill="1" applyBorder="1" applyAlignment="1">
      <alignment horizontal="left"/>
    </xf>
    <xf numFmtId="0" fontId="0" fillId="2" borderId="13" xfId="0" applyFill="1" applyBorder="1"/>
    <xf numFmtId="0" fontId="1" fillId="2" borderId="13" xfId="0" applyFont="1" applyFill="1" applyBorder="1"/>
    <xf numFmtId="0" fontId="1" fillId="2" borderId="14" xfId="0" applyFont="1" applyFill="1" applyBorder="1"/>
    <xf numFmtId="0" fontId="0" fillId="2" borderId="0" xfId="0" applyFont="1" applyFill="1" applyBorder="1"/>
    <xf numFmtId="0" fontId="4" fillId="2" borderId="3" xfId="0" quotePrefix="1" applyFont="1" applyFill="1" applyBorder="1" applyAlignment="1">
      <alignment horizontal="left"/>
    </xf>
    <xf numFmtId="0" fontId="6" fillId="2" borderId="0" xfId="0" applyFont="1" applyFill="1" applyBorder="1" applyAlignment="1">
      <alignment horizontal="left"/>
    </xf>
    <xf numFmtId="0" fontId="7" fillId="2" borderId="0" xfId="0" applyFont="1" applyFill="1" applyBorder="1" applyAlignment="1">
      <alignment horizontal="left"/>
    </xf>
    <xf numFmtId="0" fontId="0" fillId="2" borderId="3" xfId="0" applyFill="1" applyBorder="1" applyAlignment="1">
      <alignment horizontal="center" vertical="center"/>
    </xf>
    <xf numFmtId="0" fontId="5" fillId="2" borderId="3" xfId="0" applyFont="1" applyFill="1" applyBorder="1" applyAlignment="1">
      <alignment vertical="center"/>
    </xf>
    <xf numFmtId="0" fontId="0" fillId="2" borderId="15" xfId="0" applyFill="1" applyBorder="1" applyAlignment="1">
      <alignment vertical="center"/>
    </xf>
    <xf numFmtId="0" fontId="0" fillId="2" borderId="3" xfId="0" applyFill="1" applyBorder="1" applyAlignment="1">
      <alignment vertical="center"/>
    </xf>
    <xf numFmtId="0" fontId="0" fillId="2" borderId="10" xfId="0" applyFill="1" applyBorder="1" applyAlignment="1">
      <alignment horizontal="center" vertical="center"/>
    </xf>
    <xf numFmtId="0" fontId="6" fillId="2" borderId="2" xfId="0" applyFont="1" applyFill="1" applyBorder="1" applyAlignment="1">
      <alignment horizontal="left"/>
    </xf>
  </cellXfs>
  <cellStyles count="1">
    <cellStyle name="Normal" xfId="0" builtinId="0"/>
  </cellStyles>
  <dxfs count="7"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Medium9"/>
  <colors>
    <mruColors>
      <color rgb="FF00CCFF"/>
      <color rgb="FF66FF33"/>
      <color rgb="FF66FF66"/>
      <color rgb="FF00FF00"/>
      <color rgb="FF3333FF"/>
      <color rgb="FFFFCC66"/>
      <color rgb="FFFF5A33"/>
      <color rgb="FF54D8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314324</xdr:colOff>
      <xdr:row>1</xdr:row>
      <xdr:rowOff>161924</xdr:rowOff>
    </xdr:from>
    <xdr:to>
      <xdr:col>2</xdr:col>
      <xdr:colOff>133350</xdr:colOff>
      <xdr:row>4</xdr:row>
      <xdr:rowOff>38099</xdr:rowOff>
    </xdr:to>
    <xdr:sp macro="[0]!selectDesign" textlink="">
      <xdr:nvSpPr>
        <xdr:cNvPr id="2" name="Rectangle 1"/>
        <xdr:cNvSpPr/>
      </xdr:nvSpPr>
      <xdr:spPr>
        <a:xfrm>
          <a:off x="314324" y="352424"/>
          <a:ext cx="1790701" cy="504825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Algerian" panose="04020705040A02060702" pitchFamily="82" charset="0"/>
            </a:rPr>
            <a:t>SELECT DESIGN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</xdr:row>
      <xdr:rowOff>104774</xdr:rowOff>
    </xdr:from>
    <xdr:to>
      <xdr:col>1</xdr:col>
      <xdr:colOff>1104900</xdr:colOff>
      <xdr:row>3</xdr:row>
      <xdr:rowOff>76199</xdr:rowOff>
    </xdr:to>
    <xdr:sp macro="[0]!selectDesign" textlink="">
      <xdr:nvSpPr>
        <xdr:cNvPr id="2" name="Rectangle 1"/>
        <xdr:cNvSpPr/>
      </xdr:nvSpPr>
      <xdr:spPr>
        <a:xfrm>
          <a:off x="733425" y="295274"/>
          <a:ext cx="1095375" cy="352425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>
          <a:solidFill>
            <a:srgbClr val="00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Algerian" panose="04020705040A02060702" pitchFamily="82" charset="0"/>
            </a:rPr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B116" sqref="B116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709"/>
  <sheetViews>
    <sheetView workbookViewId="0">
      <pane ySplit="8" topLeftCell="A9" activePane="bottomLeft" state="frozen"/>
      <selection pane="bottomLeft" activeCell="A9" sqref="A9:XFD9"/>
    </sheetView>
  </sheetViews>
  <sheetFormatPr defaultRowHeight="15" x14ac:dyDescent="0.25"/>
  <cols>
    <col min="2" max="2" width="20.42578125" bestFit="1" customWidth="1"/>
    <col min="3" max="3" width="11.5703125" bestFit="1" customWidth="1"/>
    <col min="4" max="4" width="10.7109375" customWidth="1"/>
    <col min="5" max="5" width="10" customWidth="1"/>
    <col min="6" max="6" width="11" customWidth="1"/>
    <col min="7" max="7" width="14.85546875" customWidth="1"/>
    <col min="8" max="8" width="10.42578125" customWidth="1"/>
    <col min="9" max="9" width="13.28515625" customWidth="1"/>
    <col min="10" max="10" width="11.7109375" customWidth="1"/>
    <col min="11" max="11" width="10.140625" customWidth="1"/>
    <col min="12" max="12" width="11" customWidth="1"/>
    <col min="13" max="13" width="12.7109375" customWidth="1"/>
    <col min="14" max="14" width="20.28515625" bestFit="1" customWidth="1"/>
    <col min="26" max="26" width="10.140625" customWidth="1"/>
  </cols>
  <sheetData>
    <row r="1" spans="1:36" x14ac:dyDescent="0.25">
      <c r="A1" s="9" t="s">
        <v>13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5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</row>
    <row r="2" spans="1:36" x14ac:dyDescent="0.25">
      <c r="A2" s="1"/>
      <c r="B2" s="1"/>
      <c r="C2" s="1"/>
      <c r="D2" s="1" t="s">
        <v>970</v>
      </c>
      <c r="E2" s="1"/>
      <c r="F2" s="1"/>
      <c r="G2" s="1"/>
      <c r="H2" s="1"/>
      <c r="I2" s="1"/>
      <c r="J2" s="1"/>
      <c r="K2" s="1"/>
      <c r="L2" s="1"/>
      <c r="M2" s="1"/>
      <c r="N2" s="1"/>
      <c r="O2" s="5"/>
      <c r="P2" s="4"/>
      <c r="Q2" s="4"/>
      <c r="R2" s="4"/>
      <c r="S2" s="7" t="s">
        <v>969</v>
      </c>
      <c r="T2" s="7"/>
      <c r="U2" s="7"/>
      <c r="V2" s="4"/>
      <c r="W2" s="4"/>
      <c r="X2" s="4"/>
      <c r="Y2" s="4"/>
      <c r="Z2" s="4"/>
      <c r="AA2" s="7" t="s">
        <v>966</v>
      </c>
      <c r="AB2" s="7"/>
      <c r="AC2" s="7"/>
      <c r="AD2" s="4"/>
      <c r="AE2" s="4"/>
      <c r="AF2" s="4"/>
    </row>
    <row r="3" spans="1:36" ht="17.2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5"/>
      <c r="P3" s="4"/>
      <c r="Q3" s="4"/>
      <c r="R3" s="4"/>
      <c r="S3" s="12" t="s">
        <v>1471</v>
      </c>
      <c r="T3" s="7"/>
      <c r="U3" s="7"/>
      <c r="V3" s="4"/>
      <c r="W3" s="4"/>
      <c r="X3" s="4"/>
      <c r="Y3" s="4"/>
      <c r="Z3" s="4"/>
      <c r="AA3" s="8">
        <v>469</v>
      </c>
      <c r="AB3" s="7"/>
      <c r="AC3" s="7"/>
      <c r="AD3" s="4"/>
      <c r="AE3" s="4"/>
      <c r="AF3" s="4"/>
    </row>
    <row r="4" spans="1:36" ht="17.25" customHeight="1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5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</row>
    <row r="5" spans="1:36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5"/>
      <c r="P5" s="4"/>
      <c r="Q5" s="4"/>
      <c r="R5" s="4"/>
      <c r="S5" s="7" t="s">
        <v>1462</v>
      </c>
      <c r="T5" s="7"/>
      <c r="U5" s="7"/>
      <c r="V5" s="4"/>
      <c r="W5" s="4"/>
      <c r="X5" s="4"/>
      <c r="Y5" s="4"/>
      <c r="Z5" s="4"/>
      <c r="AA5" s="7" t="s">
        <v>968</v>
      </c>
      <c r="AB5" s="7"/>
      <c r="AC5" s="7"/>
      <c r="AD5" s="7"/>
      <c r="AE5" s="7"/>
      <c r="AF5" s="7"/>
      <c r="AG5" s="10"/>
      <c r="AH5" s="10"/>
      <c r="AI5" s="10"/>
      <c r="AJ5" s="10"/>
    </row>
    <row r="6" spans="1:36" ht="15.75" customHeight="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5"/>
      <c r="P6" s="4"/>
      <c r="Q6" s="4"/>
      <c r="R6" s="4"/>
      <c r="S6" s="8"/>
      <c r="T6" s="7"/>
      <c r="U6" s="7"/>
      <c r="V6" s="4"/>
      <c r="W6" s="4"/>
      <c r="X6" s="4"/>
      <c r="Y6" s="24" t="s">
        <v>971</v>
      </c>
      <c r="Z6" s="24"/>
      <c r="AA6" s="11" t="s">
        <v>967</v>
      </c>
      <c r="AB6" s="7"/>
      <c r="AC6" s="7"/>
      <c r="AD6" s="7"/>
      <c r="AE6" s="7"/>
      <c r="AF6" s="7"/>
      <c r="AG6" s="10"/>
      <c r="AH6" s="10"/>
      <c r="AI6" s="10"/>
      <c r="AJ6" s="10"/>
    </row>
    <row r="7" spans="1:36" ht="17.25" customHeight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5"/>
      <c r="P7" s="4"/>
      <c r="Q7" s="4"/>
      <c r="R7" s="4"/>
      <c r="S7" s="4"/>
      <c r="T7" s="4"/>
      <c r="U7" s="4"/>
      <c r="V7" s="4"/>
      <c r="W7" s="4"/>
      <c r="X7" s="4"/>
      <c r="Y7" s="24" t="s">
        <v>1464</v>
      </c>
      <c r="Z7" s="24"/>
      <c r="AA7" s="14" t="str">
        <f xml:space="preserve"> AA6 &amp; "\" &amp; S3 &amp; ".csv"</f>
        <v>C:\Users\kgodyn\Documents\Actom\Actom-PMV-GUI\src\Inputs\Designs\2017.csv</v>
      </c>
      <c r="AB7" s="7"/>
      <c r="AC7" s="7"/>
      <c r="AD7" s="7"/>
      <c r="AE7" s="7"/>
      <c r="AF7" s="7"/>
      <c r="AG7" s="10"/>
      <c r="AH7" s="10"/>
      <c r="AI7" s="10"/>
      <c r="AJ7" s="10"/>
    </row>
    <row r="8" spans="1:36" x14ac:dyDescent="0.25">
      <c r="A8" s="2" t="s">
        <v>0</v>
      </c>
      <c r="B8" s="2" t="s">
        <v>1</v>
      </c>
      <c r="C8" s="2" t="s">
        <v>2</v>
      </c>
      <c r="D8" s="2" t="s">
        <v>3</v>
      </c>
      <c r="E8" s="2" t="s">
        <v>4</v>
      </c>
      <c r="F8" s="2" t="s">
        <v>5</v>
      </c>
      <c r="G8" s="2" t="s">
        <v>6</v>
      </c>
      <c r="H8" s="2" t="s">
        <v>7</v>
      </c>
      <c r="I8" s="2" t="s">
        <v>8</v>
      </c>
      <c r="J8" s="2" t="s">
        <v>9</v>
      </c>
      <c r="K8" s="2" t="s">
        <v>10</v>
      </c>
      <c r="L8" s="2" t="s">
        <v>11</v>
      </c>
      <c r="M8" s="2" t="s">
        <v>12</v>
      </c>
      <c r="N8" s="2"/>
      <c r="O8" s="5"/>
      <c r="P8" s="4"/>
      <c r="Q8" s="4"/>
      <c r="R8" s="4"/>
      <c r="S8" s="4"/>
      <c r="T8" s="4"/>
      <c r="U8" s="4"/>
      <c r="V8" s="4"/>
      <c r="W8" s="4"/>
      <c r="X8" s="4"/>
      <c r="Y8" s="24" t="s">
        <v>1465</v>
      </c>
      <c r="Z8" s="24"/>
      <c r="AA8" s="7" t="str">
        <f xml:space="preserve"> AA6 &amp; "\" &amp; $S$6 &amp; ".csv"</f>
        <v>C:\Users\kgodyn\Documents\Actom\Actom-PMV-GUI\src\Inputs\Designs\.csv</v>
      </c>
      <c r="AB8" s="7"/>
      <c r="AC8" s="7"/>
      <c r="AD8" s="7"/>
      <c r="AE8" s="7"/>
      <c r="AF8" s="7"/>
      <c r="AG8" s="10"/>
      <c r="AH8" s="10"/>
      <c r="AI8" s="10"/>
      <c r="AJ8" s="10"/>
    </row>
    <row r="9" spans="1:36" x14ac:dyDescent="0.25">
      <c r="A9" s="3" t="s">
        <v>13</v>
      </c>
      <c r="B9" s="3" t="s">
        <v>14</v>
      </c>
      <c r="C9" s="3" t="s">
        <v>15</v>
      </c>
      <c r="D9" s="3">
        <v>575</v>
      </c>
      <c r="E9" s="3">
        <v>4</v>
      </c>
      <c r="F9" s="3">
        <v>3300</v>
      </c>
      <c r="G9" s="3">
        <v>50</v>
      </c>
      <c r="H9" s="3">
        <v>0</v>
      </c>
      <c r="I9" s="3" t="s">
        <v>16</v>
      </c>
      <c r="J9" s="3">
        <v>48</v>
      </c>
      <c r="K9" s="3">
        <v>38</v>
      </c>
      <c r="L9" s="3">
        <v>0</v>
      </c>
      <c r="M9" s="3">
        <v>1.79</v>
      </c>
      <c r="N9" s="3" t="s">
        <v>17</v>
      </c>
      <c r="O9" s="6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13"/>
      <c r="AB9" s="4"/>
      <c r="AC9" s="4"/>
      <c r="AD9" s="3"/>
      <c r="AE9" s="3"/>
      <c r="AF9" s="3"/>
    </row>
    <row r="10" spans="1:36" x14ac:dyDescent="0.25">
      <c r="A10" s="3" t="s">
        <v>13</v>
      </c>
      <c r="B10" s="3" t="s">
        <v>18</v>
      </c>
      <c r="C10" s="3" t="s">
        <v>19</v>
      </c>
      <c r="D10" s="3">
        <v>400</v>
      </c>
      <c r="E10" s="3">
        <v>4</v>
      </c>
      <c r="F10" s="3">
        <v>3300</v>
      </c>
      <c r="G10" s="3">
        <v>50</v>
      </c>
      <c r="H10" s="3">
        <v>0</v>
      </c>
      <c r="I10" s="3" t="s">
        <v>16</v>
      </c>
      <c r="J10" s="3">
        <v>48</v>
      </c>
      <c r="K10" s="3">
        <v>36</v>
      </c>
      <c r="L10" s="3">
        <v>1.3169999999999999</v>
      </c>
      <c r="M10" s="3">
        <v>1.79</v>
      </c>
      <c r="N10" s="3" t="s">
        <v>20</v>
      </c>
      <c r="O10" s="6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</row>
    <row r="11" spans="1:36" x14ac:dyDescent="0.25">
      <c r="A11" s="3" t="s">
        <v>21</v>
      </c>
      <c r="B11" s="3" t="s">
        <v>22</v>
      </c>
      <c r="C11" s="3" t="s">
        <v>23</v>
      </c>
      <c r="D11" s="3">
        <v>185</v>
      </c>
      <c r="E11" s="3">
        <v>4</v>
      </c>
      <c r="F11" s="3">
        <v>6600</v>
      </c>
      <c r="G11" s="3">
        <v>50</v>
      </c>
      <c r="H11" s="3">
        <v>0</v>
      </c>
      <c r="I11" s="3" t="s">
        <v>16</v>
      </c>
      <c r="J11" s="3">
        <v>48</v>
      </c>
      <c r="K11" s="3">
        <v>38</v>
      </c>
      <c r="L11" s="3">
        <v>0</v>
      </c>
      <c r="M11" s="3">
        <v>1.79</v>
      </c>
      <c r="N11" s="3" t="s">
        <v>24</v>
      </c>
      <c r="O11" s="6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</row>
    <row r="12" spans="1:36" x14ac:dyDescent="0.25">
      <c r="A12" s="3" t="s">
        <v>21</v>
      </c>
      <c r="B12" s="3" t="s">
        <v>25</v>
      </c>
      <c r="C12" s="3" t="s">
        <v>26</v>
      </c>
      <c r="D12" s="3">
        <v>200</v>
      </c>
      <c r="E12" s="3">
        <v>2</v>
      </c>
      <c r="F12" s="3">
        <v>3300</v>
      </c>
      <c r="G12" s="3">
        <v>50</v>
      </c>
      <c r="H12" s="3">
        <v>0</v>
      </c>
      <c r="I12" s="3" t="s">
        <v>16</v>
      </c>
      <c r="J12" s="3">
        <v>48</v>
      </c>
      <c r="K12" s="3">
        <v>40</v>
      </c>
      <c r="L12" s="3">
        <v>0</v>
      </c>
      <c r="M12" s="3">
        <v>1.79</v>
      </c>
      <c r="N12" s="3" t="s">
        <v>27</v>
      </c>
      <c r="O12" s="6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</row>
    <row r="13" spans="1:36" x14ac:dyDescent="0.25">
      <c r="A13" s="3" t="s">
        <v>28</v>
      </c>
      <c r="B13" s="3" t="s">
        <v>29</v>
      </c>
      <c r="C13" s="3" t="s">
        <v>30</v>
      </c>
      <c r="D13" s="3">
        <v>260</v>
      </c>
      <c r="E13" s="3">
        <v>4</v>
      </c>
      <c r="F13" s="3">
        <v>3300</v>
      </c>
      <c r="G13" s="3">
        <v>50</v>
      </c>
      <c r="H13" s="3">
        <v>0</v>
      </c>
      <c r="I13" s="3" t="s">
        <v>16</v>
      </c>
      <c r="J13" s="3">
        <v>48</v>
      </c>
      <c r="K13" s="3">
        <v>38</v>
      </c>
      <c r="L13" s="3">
        <v>0</v>
      </c>
      <c r="M13" s="3">
        <v>1.79</v>
      </c>
      <c r="N13" s="3" t="s">
        <v>31</v>
      </c>
      <c r="O13" s="6"/>
    </row>
    <row r="14" spans="1:36" x14ac:dyDescent="0.25">
      <c r="A14" s="3" t="s">
        <v>13</v>
      </c>
      <c r="B14" s="3" t="s">
        <v>32</v>
      </c>
      <c r="C14" s="3" t="s">
        <v>15</v>
      </c>
      <c r="D14" s="3">
        <v>450</v>
      </c>
      <c r="E14" s="3">
        <v>6</v>
      </c>
      <c r="F14" s="3">
        <v>3300</v>
      </c>
      <c r="G14" s="3">
        <v>50</v>
      </c>
      <c r="H14" s="3">
        <v>0</v>
      </c>
      <c r="I14" s="3" t="s">
        <v>16</v>
      </c>
      <c r="J14" s="3">
        <v>54</v>
      </c>
      <c r="K14" s="3">
        <v>42</v>
      </c>
      <c r="L14" s="3">
        <v>1</v>
      </c>
      <c r="M14" s="3">
        <v>1.79</v>
      </c>
      <c r="N14" s="3" t="s">
        <v>33</v>
      </c>
      <c r="O14" s="6"/>
    </row>
    <row r="15" spans="1:36" x14ac:dyDescent="0.25">
      <c r="A15" s="3" t="s">
        <v>13</v>
      </c>
      <c r="B15" s="3" t="s">
        <v>34</v>
      </c>
      <c r="C15" s="3" t="s">
        <v>35</v>
      </c>
      <c r="D15" s="3">
        <v>250</v>
      </c>
      <c r="E15" s="3">
        <v>2</v>
      </c>
      <c r="F15" s="3">
        <v>6600</v>
      </c>
      <c r="G15" s="3">
        <v>50</v>
      </c>
      <c r="H15" s="3">
        <v>0</v>
      </c>
      <c r="I15" s="3" t="s">
        <v>16</v>
      </c>
      <c r="J15" s="3">
        <v>48</v>
      </c>
      <c r="K15" s="3">
        <v>40</v>
      </c>
      <c r="L15" s="3">
        <v>0</v>
      </c>
      <c r="M15" s="3">
        <v>1.79</v>
      </c>
      <c r="N15" s="3" t="s">
        <v>36</v>
      </c>
      <c r="O15" s="6"/>
    </row>
    <row r="16" spans="1:36" x14ac:dyDescent="0.25">
      <c r="A16" s="3" t="s">
        <v>13</v>
      </c>
      <c r="B16" s="3" t="s">
        <v>37</v>
      </c>
      <c r="C16" s="3" t="s">
        <v>38</v>
      </c>
      <c r="D16" s="3">
        <v>250</v>
      </c>
      <c r="E16" s="3">
        <v>6</v>
      </c>
      <c r="F16" s="3">
        <v>6600</v>
      </c>
      <c r="G16" s="3">
        <v>50</v>
      </c>
      <c r="H16" s="3">
        <v>0</v>
      </c>
      <c r="I16" s="3" t="s">
        <v>16</v>
      </c>
      <c r="J16" s="3">
        <v>54</v>
      </c>
      <c r="K16" s="3">
        <v>42</v>
      </c>
      <c r="L16" s="3">
        <v>0</v>
      </c>
      <c r="M16" s="3">
        <v>1.79</v>
      </c>
      <c r="N16" s="3" t="s">
        <v>39</v>
      </c>
      <c r="O16" s="6"/>
    </row>
    <row r="17" spans="1:17" x14ac:dyDescent="0.25">
      <c r="A17" s="3" t="s">
        <v>13</v>
      </c>
      <c r="B17" s="3" t="s">
        <v>40</v>
      </c>
      <c r="C17" s="3" t="s">
        <v>41</v>
      </c>
      <c r="D17" s="3">
        <v>195</v>
      </c>
      <c r="E17" s="3">
        <v>6</v>
      </c>
      <c r="F17" s="3">
        <v>6600</v>
      </c>
      <c r="G17" s="3">
        <v>50</v>
      </c>
      <c r="H17" s="3">
        <v>0</v>
      </c>
      <c r="I17" s="3" t="s">
        <v>16</v>
      </c>
      <c r="J17" s="3">
        <v>54</v>
      </c>
      <c r="K17" s="3">
        <v>42</v>
      </c>
      <c r="L17" s="3">
        <v>0</v>
      </c>
      <c r="M17" s="3">
        <v>1.79</v>
      </c>
      <c r="N17" s="3" t="s">
        <v>42</v>
      </c>
      <c r="O17" s="6"/>
    </row>
    <row r="18" spans="1:17" x14ac:dyDescent="0.25">
      <c r="A18" s="3" t="s">
        <v>13</v>
      </c>
      <c r="B18" s="3" t="s">
        <v>43</v>
      </c>
      <c r="C18" s="3" t="s">
        <v>44</v>
      </c>
      <c r="D18" s="3">
        <v>450</v>
      </c>
      <c r="E18" s="3">
        <v>2</v>
      </c>
      <c r="F18" s="3">
        <v>3300</v>
      </c>
      <c r="G18" s="3">
        <v>50</v>
      </c>
      <c r="H18" s="3">
        <v>0</v>
      </c>
      <c r="I18" s="3" t="s">
        <v>16</v>
      </c>
      <c r="J18" s="3">
        <v>48</v>
      </c>
      <c r="K18" s="3">
        <v>40</v>
      </c>
      <c r="L18" s="3">
        <v>0</v>
      </c>
      <c r="M18" s="3">
        <v>1.79</v>
      </c>
      <c r="N18" s="3" t="s">
        <v>45</v>
      </c>
      <c r="O18" s="6"/>
    </row>
    <row r="19" spans="1:17" x14ac:dyDescent="0.25">
      <c r="A19" s="3" t="s">
        <v>13</v>
      </c>
      <c r="B19" s="3" t="s">
        <v>48</v>
      </c>
      <c r="C19" s="3" t="s">
        <v>49</v>
      </c>
      <c r="D19" s="3">
        <v>400</v>
      </c>
      <c r="E19" s="3">
        <v>2</v>
      </c>
      <c r="F19" s="3">
        <v>3300</v>
      </c>
      <c r="G19" s="3">
        <v>50</v>
      </c>
      <c r="H19" s="3">
        <v>0</v>
      </c>
      <c r="I19" s="3" t="s">
        <v>16</v>
      </c>
      <c r="J19" s="3">
        <v>48</v>
      </c>
      <c r="K19" s="3">
        <v>40</v>
      </c>
      <c r="L19" s="3">
        <v>0</v>
      </c>
      <c r="M19" s="3">
        <v>1.79</v>
      </c>
      <c r="N19" s="3" t="s">
        <v>50</v>
      </c>
      <c r="O19" s="6"/>
      <c r="Q19" s="3"/>
    </row>
    <row r="20" spans="1:17" x14ac:dyDescent="0.25">
      <c r="A20" s="3" t="s">
        <v>28</v>
      </c>
      <c r="B20" s="3" t="s">
        <v>51</v>
      </c>
      <c r="C20" s="3" t="s">
        <v>19</v>
      </c>
      <c r="D20" s="3">
        <v>355</v>
      </c>
      <c r="E20" s="3">
        <v>4</v>
      </c>
      <c r="F20" s="3">
        <v>6600</v>
      </c>
      <c r="G20" s="3">
        <v>50</v>
      </c>
      <c r="H20" s="3">
        <v>0</v>
      </c>
      <c r="I20" s="3" t="s">
        <v>16</v>
      </c>
      <c r="J20" s="3">
        <v>48</v>
      </c>
      <c r="K20" s="3">
        <v>36</v>
      </c>
      <c r="L20" s="3">
        <v>1.3169999999999999</v>
      </c>
      <c r="M20" s="3">
        <v>1.79</v>
      </c>
      <c r="N20" s="3" t="s">
        <v>52</v>
      </c>
      <c r="O20" s="6"/>
    </row>
    <row r="21" spans="1:17" x14ac:dyDescent="0.25">
      <c r="A21" s="3" t="s">
        <v>13</v>
      </c>
      <c r="B21" s="3" t="s">
        <v>53</v>
      </c>
      <c r="C21" s="3" t="s">
        <v>15</v>
      </c>
      <c r="D21" s="3">
        <v>450</v>
      </c>
      <c r="E21" s="3">
        <v>6</v>
      </c>
      <c r="F21" s="3">
        <v>3300</v>
      </c>
      <c r="G21" s="3">
        <v>50</v>
      </c>
      <c r="H21" s="3">
        <v>0</v>
      </c>
      <c r="I21" s="3" t="s">
        <v>16</v>
      </c>
      <c r="J21" s="3">
        <v>54</v>
      </c>
      <c r="K21" s="3">
        <v>42</v>
      </c>
      <c r="L21" s="3">
        <v>1</v>
      </c>
      <c r="M21" s="3">
        <v>1.79</v>
      </c>
      <c r="N21" s="3" t="s">
        <v>54</v>
      </c>
      <c r="O21" s="6"/>
    </row>
    <row r="22" spans="1:17" x14ac:dyDescent="0.25">
      <c r="A22" s="3" t="s">
        <v>13</v>
      </c>
      <c r="B22" s="3" t="s">
        <v>55</v>
      </c>
      <c r="C22" s="3" t="s">
        <v>56</v>
      </c>
      <c r="D22" s="3">
        <v>355</v>
      </c>
      <c r="E22" s="3">
        <v>4</v>
      </c>
      <c r="F22" s="3">
        <v>3300</v>
      </c>
      <c r="G22" s="3">
        <v>50</v>
      </c>
      <c r="H22" s="3">
        <v>0</v>
      </c>
      <c r="I22" s="3" t="s">
        <v>16</v>
      </c>
      <c r="J22" s="3">
        <v>48</v>
      </c>
      <c r="K22" s="3">
        <v>36</v>
      </c>
      <c r="L22" s="3">
        <v>1.06</v>
      </c>
      <c r="M22" s="3">
        <v>1.79</v>
      </c>
      <c r="N22" s="3" t="s">
        <v>57</v>
      </c>
      <c r="O22" s="6"/>
    </row>
    <row r="23" spans="1:17" x14ac:dyDescent="0.25">
      <c r="A23" s="3" t="s">
        <v>13</v>
      </c>
      <c r="B23" s="3" t="s">
        <v>58</v>
      </c>
      <c r="C23" s="3" t="s">
        <v>56</v>
      </c>
      <c r="D23" s="3">
        <v>315</v>
      </c>
      <c r="E23" s="3">
        <v>4</v>
      </c>
      <c r="F23" s="3">
        <v>3300</v>
      </c>
      <c r="G23" s="3">
        <v>50</v>
      </c>
      <c r="H23" s="3">
        <v>0</v>
      </c>
      <c r="I23" s="3" t="s">
        <v>16</v>
      </c>
      <c r="J23" s="3">
        <v>48</v>
      </c>
      <c r="K23" s="3">
        <v>36</v>
      </c>
      <c r="L23" s="3">
        <v>0</v>
      </c>
      <c r="M23" s="3">
        <v>1.79</v>
      </c>
      <c r="N23" s="3" t="s">
        <v>59</v>
      </c>
      <c r="O23" s="6"/>
    </row>
    <row r="24" spans="1:17" x14ac:dyDescent="0.25">
      <c r="A24" s="3" t="s">
        <v>13</v>
      </c>
      <c r="B24" s="3" t="s">
        <v>60</v>
      </c>
      <c r="C24" s="3" t="s">
        <v>61</v>
      </c>
      <c r="D24" s="3">
        <v>560</v>
      </c>
      <c r="E24" s="3">
        <v>4</v>
      </c>
      <c r="F24" s="3">
        <v>3300</v>
      </c>
      <c r="G24" s="3">
        <v>50</v>
      </c>
      <c r="H24" s="3">
        <v>0</v>
      </c>
      <c r="I24" s="3" t="s">
        <v>16</v>
      </c>
      <c r="J24" s="3">
        <v>48</v>
      </c>
      <c r="K24" s="3">
        <v>38</v>
      </c>
      <c r="L24" s="3">
        <v>0</v>
      </c>
      <c r="M24" s="3">
        <v>1.79</v>
      </c>
      <c r="N24" s="3" t="s">
        <v>62</v>
      </c>
      <c r="O24" s="6"/>
    </row>
    <row r="25" spans="1:17" x14ac:dyDescent="0.25">
      <c r="A25" s="3" t="s">
        <v>13</v>
      </c>
      <c r="B25" s="3" t="s">
        <v>63</v>
      </c>
      <c r="C25" s="3" t="s">
        <v>64</v>
      </c>
      <c r="D25" s="3">
        <v>630</v>
      </c>
      <c r="E25" s="3">
        <v>4</v>
      </c>
      <c r="F25" s="3">
        <v>3300</v>
      </c>
      <c r="G25" s="3">
        <v>50</v>
      </c>
      <c r="H25" s="3">
        <v>1</v>
      </c>
      <c r="I25" s="3" t="s">
        <v>16</v>
      </c>
      <c r="J25" s="3">
        <v>48</v>
      </c>
      <c r="K25" s="3">
        <v>38</v>
      </c>
      <c r="L25" s="3">
        <v>0</v>
      </c>
      <c r="M25" s="3">
        <v>1.79</v>
      </c>
      <c r="N25" s="3" t="s">
        <v>65</v>
      </c>
      <c r="O25" s="6"/>
    </row>
    <row r="26" spans="1:17" x14ac:dyDescent="0.25">
      <c r="A26" s="3" t="s">
        <v>13</v>
      </c>
      <c r="B26" s="3" t="s">
        <v>66</v>
      </c>
      <c r="C26" s="3" t="s">
        <v>64</v>
      </c>
      <c r="D26" s="3">
        <v>650</v>
      </c>
      <c r="E26" s="3">
        <v>4</v>
      </c>
      <c r="F26" s="3">
        <v>6600</v>
      </c>
      <c r="G26" s="3">
        <v>50</v>
      </c>
      <c r="H26" s="3">
        <v>1</v>
      </c>
      <c r="I26" s="3" t="s">
        <v>16</v>
      </c>
      <c r="J26" s="3">
        <v>48</v>
      </c>
      <c r="K26" s="3">
        <v>38</v>
      </c>
      <c r="L26" s="3">
        <v>0</v>
      </c>
      <c r="M26" s="3">
        <v>1.79</v>
      </c>
      <c r="N26" s="3" t="s">
        <v>67</v>
      </c>
      <c r="O26" s="6"/>
    </row>
    <row r="27" spans="1:17" x14ac:dyDescent="0.25">
      <c r="A27" s="3" t="s">
        <v>13</v>
      </c>
      <c r="B27" s="3" t="s">
        <v>68</v>
      </c>
      <c r="C27" s="3" t="s">
        <v>26</v>
      </c>
      <c r="D27" s="3">
        <v>260</v>
      </c>
      <c r="E27" s="3">
        <v>2</v>
      </c>
      <c r="F27" s="3">
        <v>3300</v>
      </c>
      <c r="G27" s="3">
        <v>50</v>
      </c>
      <c r="H27" s="3">
        <v>0</v>
      </c>
      <c r="I27" s="3" t="s">
        <v>16</v>
      </c>
      <c r="J27" s="3">
        <v>48</v>
      </c>
      <c r="K27" s="3">
        <v>40</v>
      </c>
      <c r="L27" s="3">
        <v>0</v>
      </c>
      <c r="M27" s="3">
        <v>1.79</v>
      </c>
      <c r="N27" s="3" t="s">
        <v>69</v>
      </c>
      <c r="O27" s="6"/>
    </row>
    <row r="28" spans="1:17" x14ac:dyDescent="0.25">
      <c r="A28" s="3" t="s">
        <v>13</v>
      </c>
      <c r="B28" s="3" t="s">
        <v>70</v>
      </c>
      <c r="C28" s="3" t="s">
        <v>38</v>
      </c>
      <c r="D28" s="3">
        <v>245</v>
      </c>
      <c r="E28" s="3">
        <v>6</v>
      </c>
      <c r="F28" s="3">
        <v>6600</v>
      </c>
      <c r="G28" s="3">
        <v>50</v>
      </c>
      <c r="H28" s="3">
        <v>0</v>
      </c>
      <c r="I28" s="3" t="s">
        <v>16</v>
      </c>
      <c r="J28" s="3">
        <v>54</v>
      </c>
      <c r="K28" s="3">
        <v>42</v>
      </c>
      <c r="L28" s="3">
        <v>0</v>
      </c>
      <c r="M28" s="3">
        <v>1.79</v>
      </c>
      <c r="N28" s="3" t="s">
        <v>71</v>
      </c>
      <c r="O28" s="6"/>
    </row>
    <row r="29" spans="1:17" x14ac:dyDescent="0.25">
      <c r="A29" s="3" t="s">
        <v>13</v>
      </c>
      <c r="B29" s="3" t="s">
        <v>72</v>
      </c>
      <c r="C29" s="3" t="s">
        <v>73</v>
      </c>
      <c r="D29" s="3">
        <v>380</v>
      </c>
      <c r="E29" s="3">
        <v>8</v>
      </c>
      <c r="F29" s="3">
        <v>6600</v>
      </c>
      <c r="G29" s="3">
        <v>50</v>
      </c>
      <c r="H29" s="3">
        <v>0</v>
      </c>
      <c r="I29" s="3" t="s">
        <v>16</v>
      </c>
      <c r="J29" s="3">
        <v>72</v>
      </c>
      <c r="K29" s="3">
        <v>56</v>
      </c>
      <c r="L29" s="3">
        <v>0</v>
      </c>
      <c r="M29" s="3">
        <v>1.79</v>
      </c>
      <c r="N29" s="3" t="s">
        <v>74</v>
      </c>
      <c r="O29" s="6"/>
    </row>
    <row r="30" spans="1:17" x14ac:dyDescent="0.25">
      <c r="A30" s="3" t="s">
        <v>13</v>
      </c>
      <c r="B30" s="3" t="s">
        <v>75</v>
      </c>
      <c r="C30" s="3" t="s">
        <v>56</v>
      </c>
      <c r="D30" s="3">
        <v>355</v>
      </c>
      <c r="E30" s="3">
        <v>4</v>
      </c>
      <c r="F30" s="3">
        <v>3300</v>
      </c>
      <c r="G30" s="3">
        <v>50</v>
      </c>
      <c r="H30" s="3">
        <v>0</v>
      </c>
      <c r="I30" s="3" t="s">
        <v>16</v>
      </c>
      <c r="J30" s="3">
        <v>48</v>
      </c>
      <c r="K30" s="3">
        <v>36</v>
      </c>
      <c r="L30" s="3">
        <v>1.06026</v>
      </c>
      <c r="M30" s="3">
        <v>1.79</v>
      </c>
      <c r="N30" s="3" t="s">
        <v>76</v>
      </c>
      <c r="O30" s="6"/>
    </row>
    <row r="31" spans="1:17" x14ac:dyDescent="0.25">
      <c r="A31" s="3" t="s">
        <v>13</v>
      </c>
      <c r="B31" s="3" t="s">
        <v>77</v>
      </c>
      <c r="C31" s="3" t="s">
        <v>35</v>
      </c>
      <c r="D31" s="3">
        <v>275</v>
      </c>
      <c r="E31" s="3">
        <v>2</v>
      </c>
      <c r="F31" s="3">
        <v>3300</v>
      </c>
      <c r="G31" s="3">
        <v>50</v>
      </c>
      <c r="H31" s="3">
        <v>0</v>
      </c>
      <c r="I31" s="3" t="s">
        <v>16</v>
      </c>
      <c r="J31" s="3">
        <v>48</v>
      </c>
      <c r="K31" s="3">
        <v>40</v>
      </c>
      <c r="L31" s="3">
        <v>0</v>
      </c>
      <c r="M31" s="3">
        <v>1.79</v>
      </c>
      <c r="N31" s="3" t="s">
        <v>78</v>
      </c>
      <c r="O31" s="6"/>
    </row>
    <row r="32" spans="1:17" x14ac:dyDescent="0.25">
      <c r="A32" s="3" t="s">
        <v>13</v>
      </c>
      <c r="B32" s="3" t="s">
        <v>79</v>
      </c>
      <c r="C32" s="3" t="s">
        <v>80</v>
      </c>
      <c r="D32" s="3">
        <v>560</v>
      </c>
      <c r="E32" s="3">
        <v>2</v>
      </c>
      <c r="F32" s="3">
        <v>3300</v>
      </c>
      <c r="G32" s="3">
        <v>50</v>
      </c>
      <c r="H32" s="3">
        <v>0</v>
      </c>
      <c r="I32" s="3" t="s">
        <v>16</v>
      </c>
      <c r="J32" s="3">
        <v>48</v>
      </c>
      <c r="K32" s="3">
        <v>40</v>
      </c>
      <c r="L32" s="3">
        <v>0</v>
      </c>
      <c r="M32" s="3">
        <v>1.79</v>
      </c>
      <c r="N32" s="3" t="s">
        <v>81</v>
      </c>
      <c r="O32" s="6"/>
    </row>
    <row r="33" spans="1:15" x14ac:dyDescent="0.25">
      <c r="A33" s="3" t="s">
        <v>13</v>
      </c>
      <c r="B33" s="3" t="s">
        <v>82</v>
      </c>
      <c r="C33" s="3" t="s">
        <v>83</v>
      </c>
      <c r="D33" s="3">
        <v>150</v>
      </c>
      <c r="E33" s="3">
        <v>2</v>
      </c>
      <c r="F33" s="3">
        <v>525</v>
      </c>
      <c r="G33" s="3">
        <v>50</v>
      </c>
      <c r="H33" s="3">
        <v>0</v>
      </c>
      <c r="I33" s="3" t="s">
        <v>16</v>
      </c>
      <c r="J33" s="3">
        <v>48</v>
      </c>
      <c r="K33" s="3">
        <v>40</v>
      </c>
      <c r="L33" s="3">
        <v>0</v>
      </c>
      <c r="M33" s="3">
        <v>1.79</v>
      </c>
      <c r="N33" s="3" t="s">
        <v>84</v>
      </c>
      <c r="O33" s="6"/>
    </row>
    <row r="34" spans="1:15" x14ac:dyDescent="0.25">
      <c r="A34" s="3" t="s">
        <v>13</v>
      </c>
      <c r="B34" s="3" t="s">
        <v>85</v>
      </c>
      <c r="C34" s="3" t="s">
        <v>86</v>
      </c>
      <c r="D34" s="3">
        <v>260</v>
      </c>
      <c r="E34" s="3">
        <v>6</v>
      </c>
      <c r="F34" s="3">
        <v>6600</v>
      </c>
      <c r="G34" s="3">
        <v>50</v>
      </c>
      <c r="H34" s="3">
        <v>0</v>
      </c>
      <c r="I34" s="3" t="s">
        <v>16</v>
      </c>
      <c r="J34" s="3">
        <v>54</v>
      </c>
      <c r="K34" s="3">
        <v>40</v>
      </c>
      <c r="L34" s="3">
        <v>0</v>
      </c>
      <c r="M34" s="3">
        <v>12.5</v>
      </c>
      <c r="N34" s="3" t="s">
        <v>87</v>
      </c>
      <c r="O34" s="6"/>
    </row>
    <row r="35" spans="1:15" x14ac:dyDescent="0.25">
      <c r="A35" s="3" t="s">
        <v>13</v>
      </c>
      <c r="B35" s="3" t="s">
        <v>88</v>
      </c>
      <c r="C35" s="3" t="s">
        <v>89</v>
      </c>
      <c r="D35" s="3">
        <v>880</v>
      </c>
      <c r="E35" s="3">
        <v>4</v>
      </c>
      <c r="F35" s="3">
        <v>3300</v>
      </c>
      <c r="G35" s="3">
        <v>50</v>
      </c>
      <c r="H35" s="3">
        <v>0</v>
      </c>
      <c r="I35" s="3" t="s">
        <v>16</v>
      </c>
      <c r="J35" s="3">
        <v>48</v>
      </c>
      <c r="K35" s="3">
        <v>38</v>
      </c>
      <c r="L35" s="3">
        <v>0</v>
      </c>
      <c r="M35" s="3">
        <v>1.79</v>
      </c>
      <c r="N35" s="3" t="s">
        <v>90</v>
      </c>
      <c r="O35" s="6"/>
    </row>
    <row r="36" spans="1:15" x14ac:dyDescent="0.25">
      <c r="A36" s="3" t="s">
        <v>13</v>
      </c>
      <c r="B36" s="3" t="s">
        <v>91</v>
      </c>
      <c r="C36" s="3" t="s">
        <v>92</v>
      </c>
      <c r="D36" s="3">
        <v>510</v>
      </c>
      <c r="E36" s="3">
        <v>2</v>
      </c>
      <c r="F36" s="3">
        <v>3300</v>
      </c>
      <c r="G36" s="3">
        <v>50</v>
      </c>
      <c r="H36" s="3">
        <v>0</v>
      </c>
      <c r="I36" s="3" t="s">
        <v>16</v>
      </c>
      <c r="J36" s="3">
        <v>48</v>
      </c>
      <c r="K36" s="3">
        <v>40</v>
      </c>
      <c r="L36" s="3">
        <v>0</v>
      </c>
      <c r="M36" s="3">
        <v>1.79</v>
      </c>
      <c r="N36" s="3" t="s">
        <v>93</v>
      </c>
      <c r="O36" s="6"/>
    </row>
    <row r="37" spans="1:15" x14ac:dyDescent="0.25">
      <c r="A37" s="3" t="s">
        <v>13</v>
      </c>
      <c r="B37" s="3" t="s">
        <v>94</v>
      </c>
      <c r="C37" s="3" t="s">
        <v>44</v>
      </c>
      <c r="D37" s="3">
        <v>410</v>
      </c>
      <c r="E37" s="3">
        <v>2</v>
      </c>
      <c r="F37" s="3">
        <v>3300</v>
      </c>
      <c r="G37" s="3">
        <v>50</v>
      </c>
      <c r="H37" s="3">
        <v>0</v>
      </c>
      <c r="I37" s="3" t="s">
        <v>16</v>
      </c>
      <c r="J37" s="3">
        <v>48</v>
      </c>
      <c r="K37" s="3">
        <v>40</v>
      </c>
      <c r="L37" s="3">
        <v>0</v>
      </c>
      <c r="M37" s="3">
        <v>1.79</v>
      </c>
      <c r="N37" s="3" t="s">
        <v>95</v>
      </c>
      <c r="O37" s="6"/>
    </row>
    <row r="38" spans="1:15" x14ac:dyDescent="0.25">
      <c r="A38" s="3" t="s">
        <v>21</v>
      </c>
      <c r="B38" s="3" t="s">
        <v>96</v>
      </c>
      <c r="C38" s="3" t="s">
        <v>56</v>
      </c>
      <c r="D38" s="3">
        <v>335</v>
      </c>
      <c r="E38" s="3">
        <v>4</v>
      </c>
      <c r="F38" s="3">
        <v>6600</v>
      </c>
      <c r="G38" s="3">
        <v>50</v>
      </c>
      <c r="H38" s="3">
        <v>0</v>
      </c>
      <c r="I38" s="3" t="s">
        <v>16</v>
      </c>
      <c r="J38" s="3">
        <v>48</v>
      </c>
      <c r="K38" s="3">
        <v>38</v>
      </c>
      <c r="L38" s="3">
        <v>0</v>
      </c>
      <c r="M38" s="3">
        <v>1.79</v>
      </c>
      <c r="N38" s="3" t="s">
        <v>97</v>
      </c>
      <c r="O38" s="6"/>
    </row>
    <row r="39" spans="1:15" x14ac:dyDescent="0.25">
      <c r="A39" s="3" t="s">
        <v>13</v>
      </c>
      <c r="B39" s="3" t="s">
        <v>98</v>
      </c>
      <c r="C39" s="3" t="s">
        <v>99</v>
      </c>
      <c r="D39" s="3">
        <v>365</v>
      </c>
      <c r="E39" s="3">
        <v>6</v>
      </c>
      <c r="F39" s="3">
        <v>6600</v>
      </c>
      <c r="G39" s="3">
        <v>50</v>
      </c>
      <c r="H39" s="3">
        <v>0</v>
      </c>
      <c r="I39" s="3" t="s">
        <v>16</v>
      </c>
      <c r="J39" s="3">
        <v>54</v>
      </c>
      <c r="K39" s="3">
        <v>42</v>
      </c>
      <c r="L39" s="3">
        <v>1</v>
      </c>
      <c r="M39" s="3">
        <v>1.79</v>
      </c>
      <c r="N39" s="3" t="s">
        <v>100</v>
      </c>
      <c r="O39" s="6"/>
    </row>
    <row r="40" spans="1:15" x14ac:dyDescent="0.25">
      <c r="A40" s="3" t="s">
        <v>13</v>
      </c>
      <c r="B40" s="3" t="s">
        <v>101</v>
      </c>
      <c r="C40" s="3" t="s">
        <v>99</v>
      </c>
      <c r="D40" s="3">
        <v>365</v>
      </c>
      <c r="E40" s="3">
        <v>6</v>
      </c>
      <c r="F40" s="3">
        <v>544.45000000000005</v>
      </c>
      <c r="G40" s="3">
        <v>50</v>
      </c>
      <c r="H40" s="3">
        <v>0</v>
      </c>
      <c r="I40" s="3" t="s">
        <v>16</v>
      </c>
      <c r="J40" s="3">
        <v>54</v>
      </c>
      <c r="K40" s="3">
        <v>42</v>
      </c>
      <c r="L40" s="3">
        <v>1</v>
      </c>
      <c r="M40" s="3">
        <v>1.79</v>
      </c>
      <c r="N40" s="3" t="s">
        <v>102</v>
      </c>
      <c r="O40" s="6"/>
    </row>
    <row r="41" spans="1:15" x14ac:dyDescent="0.25">
      <c r="A41" s="3" t="s">
        <v>13</v>
      </c>
      <c r="B41" s="3" t="s">
        <v>103</v>
      </c>
      <c r="C41" s="3" t="s">
        <v>15</v>
      </c>
      <c r="D41" s="3">
        <v>560</v>
      </c>
      <c r="E41" s="3">
        <v>4</v>
      </c>
      <c r="F41" s="3">
        <v>3300</v>
      </c>
      <c r="G41" s="3">
        <v>50</v>
      </c>
      <c r="H41" s="3">
        <v>0</v>
      </c>
      <c r="I41" s="3" t="s">
        <v>16</v>
      </c>
      <c r="J41" s="3">
        <v>48</v>
      </c>
      <c r="K41" s="3">
        <v>36</v>
      </c>
      <c r="L41" s="3">
        <v>0</v>
      </c>
      <c r="M41" s="3">
        <v>1.79</v>
      </c>
      <c r="N41" s="3" t="s">
        <v>104</v>
      </c>
      <c r="O41" s="6"/>
    </row>
    <row r="42" spans="1:15" x14ac:dyDescent="0.25">
      <c r="A42" s="3" t="s">
        <v>13</v>
      </c>
      <c r="B42" s="3" t="s">
        <v>105</v>
      </c>
      <c r="C42" s="3" t="s">
        <v>23</v>
      </c>
      <c r="D42" s="3">
        <v>208</v>
      </c>
      <c r="E42" s="3">
        <v>4</v>
      </c>
      <c r="F42" s="3">
        <v>6600</v>
      </c>
      <c r="G42" s="3">
        <v>50</v>
      </c>
      <c r="H42" s="3">
        <v>0</v>
      </c>
      <c r="I42" s="3" t="s">
        <v>16</v>
      </c>
      <c r="J42" s="3">
        <v>48</v>
      </c>
      <c r="K42" s="3">
        <v>38</v>
      </c>
      <c r="L42" s="3">
        <v>0</v>
      </c>
      <c r="M42" s="3">
        <v>1.79</v>
      </c>
      <c r="N42" s="3" t="s">
        <v>106</v>
      </c>
      <c r="O42" s="6"/>
    </row>
    <row r="43" spans="1:15" x14ac:dyDescent="0.25">
      <c r="A43" s="3" t="s">
        <v>13</v>
      </c>
      <c r="B43" s="3" t="s">
        <v>107</v>
      </c>
      <c r="C43" s="3" t="s">
        <v>41</v>
      </c>
      <c r="D43" s="3">
        <v>230</v>
      </c>
      <c r="E43" s="3">
        <v>6</v>
      </c>
      <c r="F43" s="3">
        <v>3300</v>
      </c>
      <c r="G43" s="3">
        <v>50</v>
      </c>
      <c r="H43" s="3">
        <v>0</v>
      </c>
      <c r="I43" s="3" t="s">
        <v>16</v>
      </c>
      <c r="J43" s="3">
        <v>54</v>
      </c>
      <c r="K43" s="3">
        <v>42</v>
      </c>
      <c r="L43" s="3">
        <v>0</v>
      </c>
      <c r="M43" s="3">
        <v>1.79</v>
      </c>
      <c r="N43" s="3" t="s">
        <v>108</v>
      </c>
      <c r="O43" s="6"/>
    </row>
    <row r="44" spans="1:15" x14ac:dyDescent="0.25">
      <c r="A44" s="3" t="s">
        <v>13</v>
      </c>
      <c r="B44" s="3" t="s">
        <v>109</v>
      </c>
      <c r="C44" s="3" t="s">
        <v>110</v>
      </c>
      <c r="D44" s="3">
        <v>160</v>
      </c>
      <c r="E44" s="3">
        <v>4</v>
      </c>
      <c r="F44" s="3">
        <v>3300</v>
      </c>
      <c r="G44" s="3">
        <v>50</v>
      </c>
      <c r="H44" s="3">
        <v>0</v>
      </c>
      <c r="I44" s="3" t="s">
        <v>16</v>
      </c>
      <c r="J44" s="3">
        <v>48</v>
      </c>
      <c r="K44" s="3">
        <v>38</v>
      </c>
      <c r="L44" s="3">
        <v>0</v>
      </c>
      <c r="M44" s="3">
        <v>1.79</v>
      </c>
      <c r="N44" s="3" t="s">
        <v>111</v>
      </c>
      <c r="O44" s="6"/>
    </row>
    <row r="45" spans="1:15" x14ac:dyDescent="0.25">
      <c r="A45" s="3" t="s">
        <v>13</v>
      </c>
      <c r="B45" s="3" t="s">
        <v>112</v>
      </c>
      <c r="C45" s="3" t="s">
        <v>64</v>
      </c>
      <c r="D45" s="3">
        <v>600</v>
      </c>
      <c r="E45" s="3">
        <v>4</v>
      </c>
      <c r="F45" s="3">
        <v>6600</v>
      </c>
      <c r="G45" s="3">
        <v>50</v>
      </c>
      <c r="H45" s="3">
        <v>0</v>
      </c>
      <c r="I45" s="3" t="s">
        <v>16</v>
      </c>
      <c r="J45" s="3">
        <v>48</v>
      </c>
      <c r="K45" s="3">
        <v>38</v>
      </c>
      <c r="L45" s="3">
        <v>0</v>
      </c>
      <c r="M45" s="3">
        <v>1.79</v>
      </c>
      <c r="N45" s="3" t="s">
        <v>113</v>
      </c>
      <c r="O45" s="6"/>
    </row>
    <row r="46" spans="1:15" x14ac:dyDescent="0.25">
      <c r="A46" s="3" t="s">
        <v>13</v>
      </c>
      <c r="B46" s="3" t="s">
        <v>114</v>
      </c>
      <c r="C46" s="3" t="s">
        <v>110</v>
      </c>
      <c r="D46" s="3">
        <v>450</v>
      </c>
      <c r="E46" s="3">
        <v>4</v>
      </c>
      <c r="F46" s="3">
        <v>3300</v>
      </c>
      <c r="G46" s="3">
        <v>50</v>
      </c>
      <c r="H46" s="3">
        <v>0</v>
      </c>
      <c r="I46" s="3" t="s">
        <v>16</v>
      </c>
      <c r="J46" s="3">
        <v>48</v>
      </c>
      <c r="K46" s="3">
        <v>38</v>
      </c>
      <c r="L46" s="3">
        <v>0</v>
      </c>
      <c r="M46" s="3">
        <v>1.79</v>
      </c>
      <c r="N46" s="3" t="s">
        <v>115</v>
      </c>
      <c r="O46" s="6"/>
    </row>
    <row r="47" spans="1:15" x14ac:dyDescent="0.25">
      <c r="A47" s="3" t="s">
        <v>13</v>
      </c>
      <c r="B47" s="3" t="s">
        <v>116</v>
      </c>
      <c r="C47" s="3" t="s">
        <v>35</v>
      </c>
      <c r="D47" s="3">
        <v>265</v>
      </c>
      <c r="E47" s="3">
        <v>2</v>
      </c>
      <c r="F47" s="3">
        <v>6600</v>
      </c>
      <c r="G47" s="3">
        <v>50</v>
      </c>
      <c r="H47" s="3">
        <v>0</v>
      </c>
      <c r="I47" s="3" t="s">
        <v>16</v>
      </c>
      <c r="J47" s="3">
        <v>48</v>
      </c>
      <c r="K47" s="3">
        <v>40</v>
      </c>
      <c r="L47" s="3">
        <v>0</v>
      </c>
      <c r="M47" s="3">
        <v>1.79</v>
      </c>
      <c r="N47" s="3" t="s">
        <v>117</v>
      </c>
      <c r="O47" s="6"/>
    </row>
    <row r="48" spans="1:15" x14ac:dyDescent="0.25">
      <c r="A48" s="3" t="s">
        <v>13</v>
      </c>
      <c r="B48" s="3" t="s">
        <v>118</v>
      </c>
      <c r="C48" s="3" t="s">
        <v>47</v>
      </c>
      <c r="D48" s="3">
        <v>690</v>
      </c>
      <c r="E48" s="3">
        <v>2</v>
      </c>
      <c r="F48" s="3">
        <v>6600</v>
      </c>
      <c r="G48" s="3">
        <v>50</v>
      </c>
      <c r="H48" s="3">
        <v>0</v>
      </c>
      <c r="I48" s="3" t="s">
        <v>16</v>
      </c>
      <c r="J48" s="3">
        <v>48</v>
      </c>
      <c r="K48" s="3">
        <v>40</v>
      </c>
      <c r="L48" s="3">
        <v>0</v>
      </c>
      <c r="M48" s="3">
        <v>1.79</v>
      </c>
      <c r="N48" s="3" t="s">
        <v>119</v>
      </c>
      <c r="O48" s="6"/>
    </row>
    <row r="49" spans="1:15" x14ac:dyDescent="0.25">
      <c r="A49" s="3" t="s">
        <v>13</v>
      </c>
      <c r="B49" s="3" t="s">
        <v>120</v>
      </c>
      <c r="C49" s="3" t="s">
        <v>121</v>
      </c>
      <c r="D49" s="3">
        <v>320</v>
      </c>
      <c r="E49" s="3">
        <v>6</v>
      </c>
      <c r="F49" s="3">
        <v>6600</v>
      </c>
      <c r="G49" s="3">
        <v>50</v>
      </c>
      <c r="H49" s="3">
        <v>0</v>
      </c>
      <c r="I49" s="3" t="s">
        <v>16</v>
      </c>
      <c r="J49" s="3">
        <v>54</v>
      </c>
      <c r="K49" s="3">
        <v>40</v>
      </c>
      <c r="L49" s="3">
        <v>0</v>
      </c>
      <c r="M49" s="3">
        <v>12.7</v>
      </c>
      <c r="N49" s="3" t="s">
        <v>122</v>
      </c>
      <c r="O49" s="6"/>
    </row>
    <row r="50" spans="1:15" x14ac:dyDescent="0.25">
      <c r="A50" s="3" t="s">
        <v>13</v>
      </c>
      <c r="B50" s="3" t="s">
        <v>123</v>
      </c>
      <c r="C50" s="3" t="s">
        <v>124</v>
      </c>
      <c r="D50" s="3">
        <v>1100</v>
      </c>
      <c r="E50" s="3">
        <v>4</v>
      </c>
      <c r="F50" s="3">
        <v>11000</v>
      </c>
      <c r="G50" s="3">
        <v>50</v>
      </c>
      <c r="H50" s="3">
        <v>0</v>
      </c>
      <c r="I50" s="3" t="s">
        <v>16</v>
      </c>
      <c r="J50" s="3">
        <v>60</v>
      </c>
      <c r="K50" s="3">
        <v>50</v>
      </c>
      <c r="L50" s="3">
        <v>0</v>
      </c>
      <c r="M50" s="3">
        <v>1.79</v>
      </c>
      <c r="N50" s="3" t="s">
        <v>125</v>
      </c>
      <c r="O50" s="6"/>
    </row>
    <row r="51" spans="1:15" x14ac:dyDescent="0.25">
      <c r="A51" s="3" t="s">
        <v>28</v>
      </c>
      <c r="B51" s="3" t="s">
        <v>126</v>
      </c>
      <c r="C51" s="3" t="s">
        <v>64</v>
      </c>
      <c r="D51" s="3">
        <v>600</v>
      </c>
      <c r="E51" s="3">
        <v>4</v>
      </c>
      <c r="F51" s="3">
        <v>6600</v>
      </c>
      <c r="G51" s="3">
        <v>50</v>
      </c>
      <c r="H51" s="3">
        <v>0</v>
      </c>
      <c r="I51" s="3" t="s">
        <v>16</v>
      </c>
      <c r="J51" s="3">
        <v>48</v>
      </c>
      <c r="K51" s="3">
        <v>38</v>
      </c>
      <c r="L51" s="3">
        <v>0</v>
      </c>
      <c r="M51" s="3">
        <v>1.79</v>
      </c>
      <c r="N51" s="3" t="s">
        <v>127</v>
      </c>
      <c r="O51" s="6"/>
    </row>
    <row r="52" spans="1:15" x14ac:dyDescent="0.25">
      <c r="A52" s="3" t="s">
        <v>13</v>
      </c>
      <c r="B52" s="3" t="s">
        <v>128</v>
      </c>
      <c r="C52" s="3" t="s">
        <v>15</v>
      </c>
      <c r="D52" s="3">
        <v>550</v>
      </c>
      <c r="E52" s="3">
        <v>4</v>
      </c>
      <c r="F52" s="3">
        <v>6600</v>
      </c>
      <c r="G52" s="3">
        <v>50</v>
      </c>
      <c r="H52" s="3">
        <v>0</v>
      </c>
      <c r="I52" s="3" t="s">
        <v>16</v>
      </c>
      <c r="J52" s="3">
        <v>48</v>
      </c>
      <c r="K52" s="3">
        <v>38</v>
      </c>
      <c r="L52" s="3">
        <v>0</v>
      </c>
      <c r="M52" s="3">
        <v>1.79</v>
      </c>
      <c r="N52" s="3" t="s">
        <v>129</v>
      </c>
      <c r="O52" s="6"/>
    </row>
    <row r="53" spans="1:15" x14ac:dyDescent="0.25">
      <c r="A53" s="3" t="s">
        <v>13</v>
      </c>
      <c r="B53" s="3" t="s">
        <v>130</v>
      </c>
      <c r="C53" s="3" t="s">
        <v>131</v>
      </c>
      <c r="D53" s="3">
        <v>675</v>
      </c>
      <c r="E53" s="3">
        <v>4</v>
      </c>
      <c r="F53" s="3">
        <v>6600</v>
      </c>
      <c r="G53" s="3">
        <v>50</v>
      </c>
      <c r="H53" s="3">
        <v>1</v>
      </c>
      <c r="I53" s="3" t="s">
        <v>16</v>
      </c>
      <c r="J53" s="3">
        <v>48</v>
      </c>
      <c r="K53" s="3">
        <v>38</v>
      </c>
      <c r="L53" s="3">
        <v>0</v>
      </c>
      <c r="M53" s="3">
        <v>1.79</v>
      </c>
      <c r="N53" s="3" t="s">
        <v>132</v>
      </c>
      <c r="O53" s="6"/>
    </row>
    <row r="54" spans="1:15" x14ac:dyDescent="0.25">
      <c r="A54" s="3" t="s">
        <v>13</v>
      </c>
      <c r="B54" s="3" t="s">
        <v>133</v>
      </c>
      <c r="C54" s="3" t="s">
        <v>56</v>
      </c>
      <c r="D54" s="3">
        <v>355</v>
      </c>
      <c r="E54" s="3">
        <v>4</v>
      </c>
      <c r="F54" s="3">
        <v>6600</v>
      </c>
      <c r="G54" s="3">
        <v>50</v>
      </c>
      <c r="H54" s="3">
        <v>0</v>
      </c>
      <c r="I54" s="3" t="s">
        <v>16</v>
      </c>
      <c r="J54" s="3">
        <v>48</v>
      </c>
      <c r="K54" s="3">
        <v>38</v>
      </c>
      <c r="L54" s="3">
        <v>0</v>
      </c>
      <c r="M54" s="3">
        <v>1.79</v>
      </c>
      <c r="N54" s="3" t="s">
        <v>134</v>
      </c>
      <c r="O54" s="6"/>
    </row>
    <row r="55" spans="1:15" x14ac:dyDescent="0.25">
      <c r="A55" s="3" t="s">
        <v>13</v>
      </c>
      <c r="B55" s="3" t="s">
        <v>135</v>
      </c>
      <c r="C55" s="3" t="s">
        <v>136</v>
      </c>
      <c r="D55" s="3">
        <v>800</v>
      </c>
      <c r="E55" s="3">
        <v>4</v>
      </c>
      <c r="F55" s="3">
        <v>6600</v>
      </c>
      <c r="G55" s="3">
        <v>50</v>
      </c>
      <c r="H55" s="3">
        <v>1</v>
      </c>
      <c r="I55" s="3" t="s">
        <v>16</v>
      </c>
      <c r="J55" s="3">
        <v>48</v>
      </c>
      <c r="K55" s="3">
        <v>38</v>
      </c>
      <c r="L55" s="3">
        <v>0</v>
      </c>
      <c r="M55" s="3">
        <v>1.79</v>
      </c>
      <c r="N55" s="3" t="s">
        <v>137</v>
      </c>
      <c r="O55" s="6"/>
    </row>
    <row r="56" spans="1:15" x14ac:dyDescent="0.25">
      <c r="A56" s="3" t="s">
        <v>13</v>
      </c>
      <c r="B56" s="3" t="s">
        <v>138</v>
      </c>
      <c r="C56" s="3" t="s">
        <v>73</v>
      </c>
      <c r="D56" s="3">
        <v>650</v>
      </c>
      <c r="E56" s="3">
        <v>4</v>
      </c>
      <c r="F56" s="3">
        <v>6600</v>
      </c>
      <c r="G56" s="3">
        <v>50</v>
      </c>
      <c r="H56" s="3">
        <v>0</v>
      </c>
      <c r="I56" s="3" t="s">
        <v>16</v>
      </c>
      <c r="J56" s="3">
        <v>48</v>
      </c>
      <c r="K56" s="3">
        <v>38</v>
      </c>
      <c r="L56" s="3">
        <v>0</v>
      </c>
      <c r="M56" s="3">
        <v>1.79</v>
      </c>
      <c r="N56" s="3" t="s">
        <v>139</v>
      </c>
      <c r="O56" s="6"/>
    </row>
    <row r="57" spans="1:15" x14ac:dyDescent="0.25">
      <c r="A57" s="3" t="s">
        <v>13</v>
      </c>
      <c r="B57" s="3" t="s">
        <v>140</v>
      </c>
      <c r="C57" s="3" t="s">
        <v>141</v>
      </c>
      <c r="D57" s="3">
        <v>1150</v>
      </c>
      <c r="E57" s="3">
        <v>4</v>
      </c>
      <c r="F57" s="3">
        <v>690</v>
      </c>
      <c r="G57" s="3">
        <v>50</v>
      </c>
      <c r="H57" s="3">
        <v>1</v>
      </c>
      <c r="I57" s="3" t="s">
        <v>16</v>
      </c>
      <c r="J57" s="3">
        <v>48</v>
      </c>
      <c r="K57" s="3">
        <v>38</v>
      </c>
      <c r="L57" s="3">
        <v>0</v>
      </c>
      <c r="M57" s="3">
        <v>1.79</v>
      </c>
      <c r="N57" s="3" t="s">
        <v>142</v>
      </c>
      <c r="O57" s="6"/>
    </row>
    <row r="58" spans="1:15" x14ac:dyDescent="0.25">
      <c r="A58" s="3" t="s">
        <v>28</v>
      </c>
      <c r="B58" s="3" t="s">
        <v>143</v>
      </c>
      <c r="C58" s="3" t="s">
        <v>26</v>
      </c>
      <c r="D58" s="3">
        <v>150</v>
      </c>
      <c r="E58" s="3">
        <v>2</v>
      </c>
      <c r="F58" s="3">
        <v>6600</v>
      </c>
      <c r="G58" s="3">
        <v>50</v>
      </c>
      <c r="H58" s="3">
        <v>0</v>
      </c>
      <c r="I58" s="3" t="s">
        <v>16</v>
      </c>
      <c r="J58" s="3">
        <v>48</v>
      </c>
      <c r="K58" s="3">
        <v>40</v>
      </c>
      <c r="L58" s="3">
        <v>0</v>
      </c>
      <c r="M58" s="3">
        <v>1.79</v>
      </c>
      <c r="N58" s="3" t="s">
        <v>144</v>
      </c>
      <c r="O58" s="6"/>
    </row>
    <row r="59" spans="1:15" x14ac:dyDescent="0.25">
      <c r="A59" s="3" t="s">
        <v>13</v>
      </c>
      <c r="B59" s="3" t="s">
        <v>145</v>
      </c>
      <c r="C59" s="3" t="s">
        <v>146</v>
      </c>
      <c r="D59" s="3">
        <v>450</v>
      </c>
      <c r="E59" s="3">
        <v>4</v>
      </c>
      <c r="F59" s="3">
        <v>3300</v>
      </c>
      <c r="G59" s="3">
        <v>50</v>
      </c>
      <c r="H59" s="3">
        <v>0</v>
      </c>
      <c r="I59" s="3" t="s">
        <v>16</v>
      </c>
      <c r="J59" s="3">
        <v>48</v>
      </c>
      <c r="K59" s="3">
        <v>36</v>
      </c>
      <c r="L59" s="3">
        <v>1.3169999999999999</v>
      </c>
      <c r="M59" s="3">
        <v>1.79</v>
      </c>
      <c r="N59" s="3" t="s">
        <v>147</v>
      </c>
      <c r="O59" s="6"/>
    </row>
    <row r="60" spans="1:15" x14ac:dyDescent="0.25">
      <c r="A60" s="3" t="s">
        <v>13</v>
      </c>
      <c r="B60" s="3" t="s">
        <v>148</v>
      </c>
      <c r="C60" s="3" t="s">
        <v>110</v>
      </c>
      <c r="D60" s="3">
        <v>160</v>
      </c>
      <c r="E60" s="3">
        <v>4</v>
      </c>
      <c r="F60" s="3">
        <v>3300</v>
      </c>
      <c r="G60" s="3">
        <v>50</v>
      </c>
      <c r="H60" s="3">
        <v>0</v>
      </c>
      <c r="I60" s="3" t="s">
        <v>16</v>
      </c>
      <c r="J60" s="3">
        <v>48</v>
      </c>
      <c r="K60" s="3">
        <v>38</v>
      </c>
      <c r="L60" s="3">
        <v>0</v>
      </c>
      <c r="M60" s="3">
        <v>1.79</v>
      </c>
      <c r="N60" s="3" t="s">
        <v>149</v>
      </c>
      <c r="O60" s="6"/>
    </row>
    <row r="61" spans="1:15" x14ac:dyDescent="0.25">
      <c r="A61" s="3" t="s">
        <v>13</v>
      </c>
      <c r="B61" s="3" t="s">
        <v>150</v>
      </c>
      <c r="C61" s="3" t="s">
        <v>30</v>
      </c>
      <c r="D61" s="3">
        <v>300</v>
      </c>
      <c r="E61" s="3">
        <v>4</v>
      </c>
      <c r="F61" s="3">
        <v>3300</v>
      </c>
      <c r="G61" s="3">
        <v>50</v>
      </c>
      <c r="H61" s="3">
        <v>0</v>
      </c>
      <c r="I61" s="3" t="s">
        <v>16</v>
      </c>
      <c r="J61" s="3">
        <v>48</v>
      </c>
      <c r="K61" s="3">
        <v>38</v>
      </c>
      <c r="L61" s="3">
        <v>0</v>
      </c>
      <c r="M61" s="3">
        <v>1.79</v>
      </c>
      <c r="N61" s="3" t="s">
        <v>151</v>
      </c>
      <c r="O61" s="6"/>
    </row>
    <row r="62" spans="1:15" x14ac:dyDescent="0.25">
      <c r="A62" s="3" t="s">
        <v>13</v>
      </c>
      <c r="B62" s="3" t="s">
        <v>152</v>
      </c>
      <c r="C62" s="3" t="s">
        <v>56</v>
      </c>
      <c r="D62" s="3">
        <v>420</v>
      </c>
      <c r="E62" s="3">
        <v>4</v>
      </c>
      <c r="F62" s="3">
        <v>3300</v>
      </c>
      <c r="G62" s="3">
        <v>50</v>
      </c>
      <c r="H62" s="3">
        <v>0</v>
      </c>
      <c r="I62" s="3" t="s">
        <v>16</v>
      </c>
      <c r="J62" s="3">
        <v>48</v>
      </c>
      <c r="K62" s="3">
        <v>36</v>
      </c>
      <c r="L62" s="3">
        <v>1.06</v>
      </c>
      <c r="M62" s="3">
        <v>1.79</v>
      </c>
      <c r="N62" s="3" t="s">
        <v>153</v>
      </c>
      <c r="O62" s="6"/>
    </row>
    <row r="63" spans="1:15" x14ac:dyDescent="0.25">
      <c r="A63" s="3" t="s">
        <v>13</v>
      </c>
      <c r="B63" s="3" t="s">
        <v>152</v>
      </c>
      <c r="C63" s="3" t="s">
        <v>56</v>
      </c>
      <c r="D63" s="3">
        <v>420</v>
      </c>
      <c r="E63" s="3">
        <v>4</v>
      </c>
      <c r="F63" s="3">
        <v>3300</v>
      </c>
      <c r="G63" s="3">
        <v>50</v>
      </c>
      <c r="H63" s="3">
        <v>0</v>
      </c>
      <c r="I63" s="3" t="s">
        <v>16</v>
      </c>
      <c r="J63" s="3">
        <v>48</v>
      </c>
      <c r="K63" s="3">
        <v>36</v>
      </c>
      <c r="L63" s="3">
        <v>0</v>
      </c>
      <c r="M63" s="3">
        <v>1.79</v>
      </c>
      <c r="N63" s="3" t="s">
        <v>154</v>
      </c>
      <c r="O63" s="6"/>
    </row>
    <row r="64" spans="1:15" x14ac:dyDescent="0.25">
      <c r="A64" s="3" t="s">
        <v>13</v>
      </c>
      <c r="B64" s="3" t="s">
        <v>155</v>
      </c>
      <c r="C64" s="3" t="s">
        <v>156</v>
      </c>
      <c r="D64" s="3">
        <v>850</v>
      </c>
      <c r="E64" s="3">
        <v>6</v>
      </c>
      <c r="F64" s="3">
        <v>11000</v>
      </c>
      <c r="G64" s="3">
        <v>50</v>
      </c>
      <c r="H64" s="3">
        <v>1</v>
      </c>
      <c r="I64" s="3" t="s">
        <v>16</v>
      </c>
      <c r="J64" s="3">
        <v>72</v>
      </c>
      <c r="K64" s="3">
        <v>58</v>
      </c>
      <c r="L64" s="3">
        <v>0</v>
      </c>
      <c r="M64" s="3">
        <v>1.79</v>
      </c>
      <c r="N64" s="3" t="s">
        <v>157</v>
      </c>
      <c r="O64" s="6"/>
    </row>
    <row r="65" spans="1:15" x14ac:dyDescent="0.25">
      <c r="A65" s="3" t="s">
        <v>13</v>
      </c>
      <c r="B65" s="3" t="s">
        <v>158</v>
      </c>
      <c r="C65" s="3" t="s">
        <v>73</v>
      </c>
      <c r="D65" s="3">
        <v>650</v>
      </c>
      <c r="E65" s="3">
        <v>4</v>
      </c>
      <c r="F65" s="3">
        <v>6600</v>
      </c>
      <c r="G65" s="3">
        <v>50</v>
      </c>
      <c r="H65" s="3">
        <v>0</v>
      </c>
      <c r="I65" s="3" t="s">
        <v>16</v>
      </c>
      <c r="J65" s="3">
        <v>48</v>
      </c>
      <c r="K65" s="3">
        <v>38</v>
      </c>
      <c r="L65" s="3">
        <v>0</v>
      </c>
      <c r="M65" s="3">
        <v>1.79</v>
      </c>
      <c r="N65" s="3" t="s">
        <v>159</v>
      </c>
      <c r="O65" s="6"/>
    </row>
    <row r="66" spans="1:15" x14ac:dyDescent="0.25">
      <c r="A66" s="3" t="s">
        <v>46</v>
      </c>
      <c r="B66" s="3" t="s">
        <v>160</v>
      </c>
      <c r="C66" s="3" t="s">
        <v>30</v>
      </c>
      <c r="D66" s="3">
        <v>250</v>
      </c>
      <c r="E66" s="3">
        <v>4</v>
      </c>
      <c r="F66" s="3">
        <v>6600</v>
      </c>
      <c r="G66" s="3">
        <v>50</v>
      </c>
      <c r="H66" s="3">
        <v>0</v>
      </c>
      <c r="I66" s="3" t="s">
        <v>16</v>
      </c>
      <c r="J66" s="3">
        <v>48</v>
      </c>
      <c r="K66" s="3">
        <v>38</v>
      </c>
      <c r="L66" s="3">
        <v>0</v>
      </c>
      <c r="M66" s="3">
        <v>1.79</v>
      </c>
      <c r="N66" s="3" t="s">
        <v>161</v>
      </c>
      <c r="O66" s="6"/>
    </row>
    <row r="67" spans="1:15" x14ac:dyDescent="0.25">
      <c r="A67" s="3" t="s">
        <v>13</v>
      </c>
      <c r="B67" s="3" t="s">
        <v>162</v>
      </c>
      <c r="C67" s="3" t="s">
        <v>163</v>
      </c>
      <c r="D67" s="3">
        <v>1420</v>
      </c>
      <c r="E67" s="3">
        <v>4</v>
      </c>
      <c r="F67" s="3">
        <v>6600</v>
      </c>
      <c r="G67" s="3">
        <v>50</v>
      </c>
      <c r="H67" s="3">
        <v>0</v>
      </c>
      <c r="I67" s="3" t="s">
        <v>16</v>
      </c>
      <c r="J67" s="3">
        <v>60</v>
      </c>
      <c r="K67" s="3">
        <v>50</v>
      </c>
      <c r="L67" s="3">
        <v>0</v>
      </c>
      <c r="M67" s="3">
        <v>3.125</v>
      </c>
      <c r="N67" s="3" t="s">
        <v>164</v>
      </c>
      <c r="O67" s="6"/>
    </row>
    <row r="68" spans="1:15" x14ac:dyDescent="0.25">
      <c r="A68" s="3" t="s">
        <v>13</v>
      </c>
      <c r="B68" s="3" t="s">
        <v>165</v>
      </c>
      <c r="C68" s="3" t="s">
        <v>92</v>
      </c>
      <c r="D68" s="3">
        <v>407</v>
      </c>
      <c r="E68" s="3">
        <v>2</v>
      </c>
      <c r="F68" s="3">
        <v>6600</v>
      </c>
      <c r="G68" s="3">
        <v>50</v>
      </c>
      <c r="H68" s="3">
        <v>0</v>
      </c>
      <c r="I68" s="3" t="s">
        <v>16</v>
      </c>
      <c r="J68" s="3">
        <v>48</v>
      </c>
      <c r="K68" s="3">
        <v>40</v>
      </c>
      <c r="L68" s="3">
        <v>0</v>
      </c>
      <c r="M68" s="3">
        <v>1.79</v>
      </c>
      <c r="N68" s="3" t="s">
        <v>166</v>
      </c>
      <c r="O68" s="6"/>
    </row>
    <row r="69" spans="1:15" x14ac:dyDescent="0.25">
      <c r="A69" s="3" t="s">
        <v>13</v>
      </c>
      <c r="B69" s="3" t="s">
        <v>167</v>
      </c>
      <c r="C69" s="3" t="s">
        <v>168</v>
      </c>
      <c r="D69" s="3">
        <v>330</v>
      </c>
      <c r="E69" s="3">
        <v>4</v>
      </c>
      <c r="F69" s="3">
        <v>3300</v>
      </c>
      <c r="G69" s="3">
        <v>50</v>
      </c>
      <c r="H69" s="3">
        <v>0</v>
      </c>
      <c r="I69" s="3" t="s">
        <v>16</v>
      </c>
      <c r="J69" s="3">
        <v>48</v>
      </c>
      <c r="K69" s="3">
        <v>38</v>
      </c>
      <c r="L69" s="3">
        <v>0</v>
      </c>
      <c r="M69" s="3">
        <v>1.79</v>
      </c>
      <c r="N69" s="3" t="s">
        <v>169</v>
      </c>
      <c r="O69" s="6"/>
    </row>
    <row r="70" spans="1:15" x14ac:dyDescent="0.25">
      <c r="A70" s="3" t="s">
        <v>13</v>
      </c>
      <c r="B70" s="3" t="s">
        <v>170</v>
      </c>
      <c r="C70" s="3" t="s">
        <v>64</v>
      </c>
      <c r="D70" s="3">
        <v>600</v>
      </c>
      <c r="E70" s="3">
        <v>4</v>
      </c>
      <c r="F70" s="3">
        <v>3300</v>
      </c>
      <c r="G70" s="3">
        <v>50</v>
      </c>
      <c r="H70" s="3">
        <v>0</v>
      </c>
      <c r="I70" s="3" t="s">
        <v>16</v>
      </c>
      <c r="J70" s="3">
        <v>48</v>
      </c>
      <c r="K70" s="3">
        <v>38</v>
      </c>
      <c r="L70" s="3">
        <v>0</v>
      </c>
      <c r="M70" s="3">
        <v>1.79</v>
      </c>
      <c r="N70" s="3" t="s">
        <v>171</v>
      </c>
      <c r="O70" s="6"/>
    </row>
    <row r="71" spans="1:15" x14ac:dyDescent="0.25">
      <c r="A71" s="3" t="s">
        <v>13</v>
      </c>
      <c r="B71" s="3" t="s">
        <v>172</v>
      </c>
      <c r="C71" s="3" t="s">
        <v>30</v>
      </c>
      <c r="D71" s="3">
        <v>250</v>
      </c>
      <c r="E71" s="3">
        <v>4</v>
      </c>
      <c r="F71" s="3">
        <v>6600</v>
      </c>
      <c r="G71" s="3">
        <v>50</v>
      </c>
      <c r="H71" s="3">
        <v>0</v>
      </c>
      <c r="I71" s="3" t="s">
        <v>16</v>
      </c>
      <c r="J71" s="3">
        <v>48</v>
      </c>
      <c r="K71" s="3">
        <v>38</v>
      </c>
      <c r="L71" s="3">
        <v>0</v>
      </c>
      <c r="M71" s="3">
        <v>1.79</v>
      </c>
      <c r="N71" s="3" t="s">
        <v>173</v>
      </c>
      <c r="O71" s="6"/>
    </row>
    <row r="72" spans="1:15" x14ac:dyDescent="0.25">
      <c r="A72" s="3" t="s">
        <v>13</v>
      </c>
      <c r="B72" s="3" t="s">
        <v>174</v>
      </c>
      <c r="C72" s="3" t="s">
        <v>15</v>
      </c>
      <c r="D72" s="3">
        <v>400</v>
      </c>
      <c r="E72" s="3">
        <v>6</v>
      </c>
      <c r="F72" s="3">
        <v>3300</v>
      </c>
      <c r="G72" s="3">
        <v>50</v>
      </c>
      <c r="H72" s="3">
        <v>0</v>
      </c>
      <c r="I72" s="3" t="s">
        <v>16</v>
      </c>
      <c r="J72" s="3">
        <v>54</v>
      </c>
      <c r="K72" s="3">
        <v>42</v>
      </c>
      <c r="L72" s="3">
        <v>1</v>
      </c>
      <c r="M72" s="3">
        <v>1.79</v>
      </c>
      <c r="N72" s="3" t="s">
        <v>175</v>
      </c>
      <c r="O72" s="6"/>
    </row>
    <row r="73" spans="1:15" x14ac:dyDescent="0.25">
      <c r="A73" s="3" t="s">
        <v>13</v>
      </c>
      <c r="B73" s="3" t="s">
        <v>176</v>
      </c>
      <c r="C73" s="3" t="s">
        <v>30</v>
      </c>
      <c r="D73" s="3">
        <v>300</v>
      </c>
      <c r="E73" s="3">
        <v>4</v>
      </c>
      <c r="F73" s="3">
        <v>3300</v>
      </c>
      <c r="G73" s="3">
        <v>50</v>
      </c>
      <c r="H73" s="3">
        <v>0</v>
      </c>
      <c r="I73" s="3" t="s">
        <v>16</v>
      </c>
      <c r="J73" s="3">
        <v>48</v>
      </c>
      <c r="K73" s="3">
        <v>38</v>
      </c>
      <c r="L73" s="3">
        <v>0</v>
      </c>
      <c r="M73" s="3">
        <v>1.79</v>
      </c>
      <c r="N73" s="3" t="s">
        <v>177</v>
      </c>
      <c r="O73" s="6"/>
    </row>
    <row r="74" spans="1:15" x14ac:dyDescent="0.25">
      <c r="A74" s="3" t="s">
        <v>178</v>
      </c>
      <c r="B74" s="3" t="s">
        <v>179</v>
      </c>
      <c r="C74" s="3" t="s">
        <v>73</v>
      </c>
      <c r="D74" s="3">
        <v>710</v>
      </c>
      <c r="E74" s="3">
        <v>4</v>
      </c>
      <c r="F74" s="3">
        <v>3300</v>
      </c>
      <c r="G74" s="3">
        <v>50</v>
      </c>
      <c r="H74" s="3">
        <v>1</v>
      </c>
      <c r="I74" s="3" t="s">
        <v>16</v>
      </c>
      <c r="J74" s="3">
        <v>48</v>
      </c>
      <c r="K74" s="3">
        <v>38</v>
      </c>
      <c r="L74" s="3">
        <v>0</v>
      </c>
      <c r="M74" s="3">
        <v>1.79</v>
      </c>
      <c r="N74" s="3" t="s">
        <v>180</v>
      </c>
      <c r="O74" s="6"/>
    </row>
    <row r="75" spans="1:15" x14ac:dyDescent="0.25">
      <c r="A75" s="3" t="s">
        <v>13</v>
      </c>
      <c r="B75" s="3" t="s">
        <v>170</v>
      </c>
      <c r="C75" s="3" t="s">
        <v>64</v>
      </c>
      <c r="D75" s="3">
        <v>600</v>
      </c>
      <c r="E75" s="3">
        <v>4</v>
      </c>
      <c r="F75" s="3">
        <v>3300</v>
      </c>
      <c r="G75" s="3">
        <v>50</v>
      </c>
      <c r="H75" s="3">
        <v>0</v>
      </c>
      <c r="I75" s="3" t="s">
        <v>16</v>
      </c>
      <c r="J75" s="3">
        <v>48</v>
      </c>
      <c r="K75" s="3">
        <v>38</v>
      </c>
      <c r="L75" s="3">
        <v>0</v>
      </c>
      <c r="M75" s="3">
        <v>1.79</v>
      </c>
      <c r="N75" s="3" t="s">
        <v>181</v>
      </c>
      <c r="O75" s="6"/>
    </row>
    <row r="76" spans="1:15" x14ac:dyDescent="0.25">
      <c r="A76" s="3" t="s">
        <v>13</v>
      </c>
      <c r="B76" s="3" t="s">
        <v>170</v>
      </c>
      <c r="C76" s="3" t="s">
        <v>64</v>
      </c>
      <c r="D76" s="3">
        <v>600</v>
      </c>
      <c r="E76" s="3">
        <v>4</v>
      </c>
      <c r="F76" s="3">
        <v>3300</v>
      </c>
      <c r="G76" s="3">
        <v>50</v>
      </c>
      <c r="H76" s="3">
        <v>0</v>
      </c>
      <c r="I76" s="3" t="s">
        <v>16</v>
      </c>
      <c r="J76" s="3">
        <v>48</v>
      </c>
      <c r="K76" s="3">
        <v>38</v>
      </c>
      <c r="L76" s="3">
        <v>0</v>
      </c>
      <c r="M76" s="3">
        <v>1.79</v>
      </c>
      <c r="N76" s="3" t="s">
        <v>182</v>
      </c>
      <c r="O76" s="6"/>
    </row>
    <row r="77" spans="1:15" x14ac:dyDescent="0.25">
      <c r="A77" s="3" t="s">
        <v>13</v>
      </c>
      <c r="B77" s="3" t="s">
        <v>183</v>
      </c>
      <c r="C77" s="3" t="s">
        <v>23</v>
      </c>
      <c r="D77" s="3">
        <v>250</v>
      </c>
      <c r="E77" s="3">
        <v>4</v>
      </c>
      <c r="F77" s="3">
        <v>3300</v>
      </c>
      <c r="G77" s="3">
        <v>50</v>
      </c>
      <c r="H77" s="3">
        <v>0</v>
      </c>
      <c r="I77" s="3" t="s">
        <v>16</v>
      </c>
      <c r="J77" s="3">
        <v>48</v>
      </c>
      <c r="K77" s="3">
        <v>38</v>
      </c>
      <c r="L77" s="3">
        <v>0</v>
      </c>
      <c r="M77" s="3">
        <v>1.79</v>
      </c>
      <c r="N77" s="3" t="s">
        <v>184</v>
      </c>
      <c r="O77" s="6"/>
    </row>
    <row r="78" spans="1:15" x14ac:dyDescent="0.25">
      <c r="A78" s="3" t="s">
        <v>13</v>
      </c>
      <c r="B78" s="3" t="s">
        <v>185</v>
      </c>
      <c r="C78" s="3" t="s">
        <v>15</v>
      </c>
      <c r="D78" s="3">
        <v>235</v>
      </c>
      <c r="E78" s="3">
        <v>4</v>
      </c>
      <c r="F78" s="3">
        <v>6600</v>
      </c>
      <c r="G78" s="3">
        <v>50</v>
      </c>
      <c r="H78" s="3">
        <v>0</v>
      </c>
      <c r="I78" s="3" t="s">
        <v>16</v>
      </c>
      <c r="J78" s="3">
        <v>48</v>
      </c>
      <c r="K78" s="3">
        <v>38</v>
      </c>
      <c r="L78" s="3">
        <v>0</v>
      </c>
      <c r="M78" s="3">
        <v>12.5</v>
      </c>
      <c r="N78" s="3" t="s">
        <v>186</v>
      </c>
      <c r="O78" s="6"/>
    </row>
    <row r="79" spans="1:15" x14ac:dyDescent="0.25">
      <c r="A79" s="3" t="s">
        <v>13</v>
      </c>
      <c r="B79" s="3" t="s">
        <v>185</v>
      </c>
      <c r="C79" s="3" t="s">
        <v>15</v>
      </c>
      <c r="D79" s="3">
        <v>235</v>
      </c>
      <c r="E79" s="3">
        <v>4</v>
      </c>
      <c r="F79" s="3">
        <v>6600</v>
      </c>
      <c r="G79" s="3">
        <v>50</v>
      </c>
      <c r="H79" s="3">
        <v>0</v>
      </c>
      <c r="I79" s="3" t="s">
        <v>16</v>
      </c>
      <c r="J79" s="3">
        <v>48</v>
      </c>
      <c r="K79" s="3">
        <v>38</v>
      </c>
      <c r="L79" s="3">
        <v>0</v>
      </c>
      <c r="M79" s="3">
        <v>1.79</v>
      </c>
      <c r="N79" s="3" t="s">
        <v>187</v>
      </c>
      <c r="O79" s="6"/>
    </row>
    <row r="80" spans="1:15" x14ac:dyDescent="0.25">
      <c r="A80" s="3" t="s">
        <v>13</v>
      </c>
      <c r="B80" s="3" t="s">
        <v>185</v>
      </c>
      <c r="C80" s="3" t="s">
        <v>15</v>
      </c>
      <c r="D80" s="3">
        <v>235</v>
      </c>
      <c r="E80" s="3">
        <v>4</v>
      </c>
      <c r="F80" s="3">
        <v>6600</v>
      </c>
      <c r="G80" s="3">
        <v>50</v>
      </c>
      <c r="H80" s="3">
        <v>0</v>
      </c>
      <c r="I80" s="3" t="s">
        <v>16</v>
      </c>
      <c r="J80" s="3">
        <v>48</v>
      </c>
      <c r="K80" s="3">
        <v>38</v>
      </c>
      <c r="L80" s="3">
        <v>0</v>
      </c>
      <c r="M80" s="3">
        <v>12.5</v>
      </c>
      <c r="N80" s="3" t="s">
        <v>188</v>
      </c>
      <c r="O80" s="6"/>
    </row>
    <row r="81" spans="1:15" x14ac:dyDescent="0.25">
      <c r="A81" s="3" t="s">
        <v>13</v>
      </c>
      <c r="B81" s="3" t="s">
        <v>189</v>
      </c>
      <c r="C81" s="3" t="s">
        <v>23</v>
      </c>
      <c r="D81" s="3">
        <v>225</v>
      </c>
      <c r="E81" s="3">
        <v>4</v>
      </c>
      <c r="F81" s="3">
        <v>3300</v>
      </c>
      <c r="G81" s="3">
        <v>50</v>
      </c>
      <c r="H81" s="3">
        <v>0</v>
      </c>
      <c r="I81" s="3" t="s">
        <v>16</v>
      </c>
      <c r="J81" s="3">
        <v>48</v>
      </c>
      <c r="K81" s="3">
        <v>38</v>
      </c>
      <c r="L81" s="3">
        <v>0</v>
      </c>
      <c r="M81" s="3">
        <v>1.79</v>
      </c>
      <c r="N81" s="3" t="s">
        <v>190</v>
      </c>
      <c r="O81" s="6"/>
    </row>
    <row r="82" spans="1:15" x14ac:dyDescent="0.25">
      <c r="A82" s="3" t="s">
        <v>46</v>
      </c>
      <c r="B82" s="3" t="s">
        <v>191</v>
      </c>
      <c r="C82" s="3" t="s">
        <v>192</v>
      </c>
      <c r="D82" s="3">
        <v>330</v>
      </c>
      <c r="E82" s="3">
        <v>2</v>
      </c>
      <c r="F82" s="3">
        <v>6600</v>
      </c>
      <c r="G82" s="3">
        <v>50</v>
      </c>
      <c r="H82" s="3">
        <v>0</v>
      </c>
      <c r="I82" s="3" t="s">
        <v>16</v>
      </c>
      <c r="J82" s="3">
        <v>48</v>
      </c>
      <c r="K82" s="3">
        <v>40</v>
      </c>
      <c r="L82" s="3">
        <v>0</v>
      </c>
      <c r="M82" s="3">
        <v>1.79</v>
      </c>
      <c r="N82" s="3" t="s">
        <v>193</v>
      </c>
      <c r="O82" s="6"/>
    </row>
    <row r="83" spans="1:15" x14ac:dyDescent="0.25">
      <c r="A83" s="3" t="s">
        <v>13</v>
      </c>
      <c r="B83" s="3" t="s">
        <v>194</v>
      </c>
      <c r="C83" s="3" t="s">
        <v>15</v>
      </c>
      <c r="D83" s="3">
        <v>500</v>
      </c>
      <c r="E83" s="3">
        <v>4</v>
      </c>
      <c r="F83" s="3">
        <v>6600</v>
      </c>
      <c r="G83" s="3">
        <v>50</v>
      </c>
      <c r="H83" s="3">
        <v>0</v>
      </c>
      <c r="I83" s="3" t="s">
        <v>16</v>
      </c>
      <c r="J83" s="3">
        <v>48</v>
      </c>
      <c r="K83" s="3">
        <v>36</v>
      </c>
      <c r="L83" s="3">
        <v>1.3169999999999999</v>
      </c>
      <c r="M83" s="3">
        <v>1.79</v>
      </c>
      <c r="N83" s="3" t="s">
        <v>195</v>
      </c>
      <c r="O83" s="6"/>
    </row>
    <row r="84" spans="1:15" x14ac:dyDescent="0.25">
      <c r="A84" s="3" t="s">
        <v>13</v>
      </c>
      <c r="B84" s="3" t="s">
        <v>196</v>
      </c>
      <c r="C84" s="3" t="s">
        <v>92</v>
      </c>
      <c r="D84" s="3">
        <v>510</v>
      </c>
      <c r="E84" s="3">
        <v>2</v>
      </c>
      <c r="F84" s="3">
        <v>3300</v>
      </c>
      <c r="G84" s="3">
        <v>50</v>
      </c>
      <c r="H84" s="3">
        <v>0</v>
      </c>
      <c r="I84" s="3" t="s">
        <v>16</v>
      </c>
      <c r="J84" s="3">
        <v>48</v>
      </c>
      <c r="K84" s="3">
        <v>40</v>
      </c>
      <c r="L84" s="3">
        <v>0</v>
      </c>
      <c r="M84" s="3">
        <v>1.79</v>
      </c>
      <c r="N84" s="3" t="s">
        <v>197</v>
      </c>
      <c r="O84" s="6"/>
    </row>
    <row r="85" spans="1:15" x14ac:dyDescent="0.25">
      <c r="A85" s="3" t="s">
        <v>13</v>
      </c>
      <c r="B85" s="3" t="s">
        <v>198</v>
      </c>
      <c r="C85" s="3" t="s">
        <v>146</v>
      </c>
      <c r="D85" s="3">
        <v>450</v>
      </c>
      <c r="E85" s="3">
        <v>4</v>
      </c>
      <c r="F85" s="3">
        <v>3300</v>
      </c>
      <c r="G85" s="3">
        <v>50</v>
      </c>
      <c r="H85" s="3">
        <v>0</v>
      </c>
      <c r="I85" s="3" t="s">
        <v>16</v>
      </c>
      <c r="J85" s="3">
        <v>48</v>
      </c>
      <c r="K85" s="3">
        <v>38</v>
      </c>
      <c r="L85" s="3">
        <v>0</v>
      </c>
      <c r="M85" s="3">
        <v>1.79</v>
      </c>
      <c r="N85" s="3" t="s">
        <v>199</v>
      </c>
      <c r="O85" s="6"/>
    </row>
    <row r="86" spans="1:15" x14ac:dyDescent="0.25">
      <c r="A86" s="3" t="s">
        <v>13</v>
      </c>
      <c r="B86" s="3" t="s">
        <v>200</v>
      </c>
      <c r="C86" s="3" t="s">
        <v>56</v>
      </c>
      <c r="D86" s="3">
        <v>373</v>
      </c>
      <c r="E86" s="3">
        <v>4</v>
      </c>
      <c r="F86" s="3">
        <v>3300</v>
      </c>
      <c r="G86" s="3">
        <v>50</v>
      </c>
      <c r="H86" s="3">
        <v>0</v>
      </c>
      <c r="I86" s="3" t="s">
        <v>16</v>
      </c>
      <c r="J86" s="3">
        <v>48</v>
      </c>
      <c r="K86" s="3">
        <v>38</v>
      </c>
      <c r="L86" s="3">
        <v>0</v>
      </c>
      <c r="M86" s="3">
        <v>1.79</v>
      </c>
      <c r="N86" s="3" t="s">
        <v>201</v>
      </c>
      <c r="O86" s="6"/>
    </row>
    <row r="87" spans="1:15" x14ac:dyDescent="0.25">
      <c r="A87" s="3" t="s">
        <v>13</v>
      </c>
      <c r="B87" s="3" t="s">
        <v>202</v>
      </c>
      <c r="C87" s="3" t="s">
        <v>30</v>
      </c>
      <c r="D87" s="3">
        <v>170</v>
      </c>
      <c r="E87" s="3">
        <v>4</v>
      </c>
      <c r="F87" s="3">
        <v>6600</v>
      </c>
      <c r="G87" s="3">
        <v>50</v>
      </c>
      <c r="H87" s="3">
        <v>0</v>
      </c>
      <c r="I87" s="3" t="s">
        <v>16</v>
      </c>
      <c r="J87" s="3">
        <v>48</v>
      </c>
      <c r="K87" s="3">
        <v>38</v>
      </c>
      <c r="L87" s="3">
        <v>0</v>
      </c>
      <c r="M87" s="3">
        <v>1.79</v>
      </c>
      <c r="N87" s="3" t="s">
        <v>203</v>
      </c>
      <c r="O87" s="6"/>
    </row>
    <row r="88" spans="1:15" x14ac:dyDescent="0.25">
      <c r="A88" s="3" t="s">
        <v>13</v>
      </c>
      <c r="B88" s="3" t="s">
        <v>204</v>
      </c>
      <c r="C88" s="3" t="s">
        <v>92</v>
      </c>
      <c r="D88" s="3">
        <v>450</v>
      </c>
      <c r="E88" s="3">
        <v>2</v>
      </c>
      <c r="F88" s="3">
        <v>6600</v>
      </c>
      <c r="G88" s="3">
        <v>50</v>
      </c>
      <c r="H88" s="3">
        <v>0</v>
      </c>
      <c r="I88" s="3" t="s">
        <v>16</v>
      </c>
      <c r="J88" s="3">
        <v>48</v>
      </c>
      <c r="K88" s="3">
        <v>40</v>
      </c>
      <c r="L88" s="3">
        <v>0</v>
      </c>
      <c r="M88" s="3">
        <v>1.79</v>
      </c>
      <c r="N88" s="3" t="s">
        <v>205</v>
      </c>
      <c r="O88" s="6"/>
    </row>
    <row r="89" spans="1:15" x14ac:dyDescent="0.25">
      <c r="A89" s="3" t="s">
        <v>13</v>
      </c>
      <c r="B89" s="3" t="s">
        <v>206</v>
      </c>
      <c r="C89" s="3" t="s">
        <v>207</v>
      </c>
      <c r="D89" s="3">
        <v>185</v>
      </c>
      <c r="E89" s="3">
        <v>4</v>
      </c>
      <c r="F89" s="3">
        <v>3300</v>
      </c>
      <c r="G89" s="3">
        <v>50</v>
      </c>
      <c r="H89" s="3">
        <v>0</v>
      </c>
      <c r="I89" s="3" t="s">
        <v>16</v>
      </c>
      <c r="J89" s="3">
        <v>48</v>
      </c>
      <c r="K89" s="3">
        <v>38</v>
      </c>
      <c r="L89" s="3">
        <v>0</v>
      </c>
      <c r="M89" s="3">
        <v>1.79</v>
      </c>
      <c r="N89" s="3" t="s">
        <v>208</v>
      </c>
      <c r="O89" s="6"/>
    </row>
    <row r="90" spans="1:15" x14ac:dyDescent="0.25">
      <c r="A90" s="3" t="s">
        <v>13</v>
      </c>
      <c r="B90" s="3" t="s">
        <v>209</v>
      </c>
      <c r="C90" s="3" t="s">
        <v>23</v>
      </c>
      <c r="D90" s="3">
        <v>260</v>
      </c>
      <c r="E90" s="3">
        <v>4</v>
      </c>
      <c r="F90" s="3">
        <v>3300</v>
      </c>
      <c r="G90" s="3">
        <v>50</v>
      </c>
      <c r="H90" s="3">
        <v>0</v>
      </c>
      <c r="I90" s="3" t="s">
        <v>16</v>
      </c>
      <c r="J90" s="3">
        <v>48</v>
      </c>
      <c r="K90" s="3">
        <v>38</v>
      </c>
      <c r="L90" s="3">
        <v>0</v>
      </c>
      <c r="M90" s="3">
        <v>1.79</v>
      </c>
      <c r="N90" s="3" t="s">
        <v>210</v>
      </c>
      <c r="O90" s="6"/>
    </row>
    <row r="91" spans="1:15" x14ac:dyDescent="0.25">
      <c r="A91" s="3" t="s">
        <v>13</v>
      </c>
      <c r="B91" s="3" t="s">
        <v>211</v>
      </c>
      <c r="C91" s="3" t="s">
        <v>212</v>
      </c>
      <c r="D91" s="3">
        <v>330</v>
      </c>
      <c r="E91" s="3">
        <v>6</v>
      </c>
      <c r="F91" s="3">
        <v>6600</v>
      </c>
      <c r="G91" s="3">
        <v>50</v>
      </c>
      <c r="H91" s="3">
        <v>0</v>
      </c>
      <c r="I91" s="3" t="s">
        <v>16</v>
      </c>
      <c r="J91" s="3">
        <v>54</v>
      </c>
      <c r="K91" s="3">
        <v>40</v>
      </c>
      <c r="L91" s="3">
        <v>0</v>
      </c>
      <c r="M91" s="3">
        <v>1.79</v>
      </c>
      <c r="N91" s="3" t="s">
        <v>213</v>
      </c>
      <c r="O91" s="6"/>
    </row>
    <row r="92" spans="1:15" x14ac:dyDescent="0.25">
      <c r="A92" s="3" t="s">
        <v>28</v>
      </c>
      <c r="B92" s="3" t="s">
        <v>214</v>
      </c>
      <c r="C92" s="3" t="s">
        <v>146</v>
      </c>
      <c r="D92" s="3">
        <v>450</v>
      </c>
      <c r="E92" s="3">
        <v>4</v>
      </c>
      <c r="F92" s="3">
        <v>3300</v>
      </c>
      <c r="G92" s="3">
        <v>50</v>
      </c>
      <c r="H92" s="3">
        <v>0</v>
      </c>
      <c r="I92" s="3" t="s">
        <v>215</v>
      </c>
      <c r="J92" s="3">
        <v>48</v>
      </c>
      <c r="K92" s="3">
        <v>38</v>
      </c>
      <c r="L92" s="3">
        <v>0</v>
      </c>
      <c r="M92" s="3">
        <v>1.79</v>
      </c>
      <c r="N92" s="3" t="s">
        <v>216</v>
      </c>
      <c r="O92" s="6"/>
    </row>
    <row r="93" spans="1:15" x14ac:dyDescent="0.25">
      <c r="A93" s="3" t="s">
        <v>13</v>
      </c>
      <c r="B93" s="3" t="s">
        <v>217</v>
      </c>
      <c r="C93" s="3" t="s">
        <v>30</v>
      </c>
      <c r="D93" s="3">
        <v>280</v>
      </c>
      <c r="E93" s="3">
        <v>4</v>
      </c>
      <c r="F93" s="3">
        <v>3300</v>
      </c>
      <c r="G93" s="3">
        <v>50</v>
      </c>
      <c r="H93" s="3">
        <v>1</v>
      </c>
      <c r="I93" s="3" t="s">
        <v>16</v>
      </c>
      <c r="J93" s="3">
        <v>48</v>
      </c>
      <c r="K93" s="3">
        <v>38</v>
      </c>
      <c r="L93" s="3">
        <v>0</v>
      </c>
      <c r="M93" s="3">
        <v>1.79</v>
      </c>
      <c r="N93" s="3" t="s">
        <v>218</v>
      </c>
      <c r="O93" s="6"/>
    </row>
    <row r="94" spans="1:15" x14ac:dyDescent="0.25">
      <c r="A94" s="3" t="s">
        <v>13</v>
      </c>
      <c r="B94" s="3" t="s">
        <v>219</v>
      </c>
      <c r="C94" s="3" t="s">
        <v>23</v>
      </c>
      <c r="D94" s="3">
        <v>200</v>
      </c>
      <c r="E94" s="3">
        <v>4</v>
      </c>
      <c r="F94" s="3">
        <v>3300</v>
      </c>
      <c r="G94" s="3">
        <v>50</v>
      </c>
      <c r="H94" s="3">
        <v>1</v>
      </c>
      <c r="I94" s="3" t="s">
        <v>16</v>
      </c>
      <c r="J94" s="3">
        <v>48</v>
      </c>
      <c r="K94" s="3">
        <v>38</v>
      </c>
      <c r="L94" s="3">
        <v>0</v>
      </c>
      <c r="M94" s="3">
        <v>1.79</v>
      </c>
      <c r="N94" s="3" t="s">
        <v>220</v>
      </c>
      <c r="O94" s="6"/>
    </row>
    <row r="95" spans="1:15" x14ac:dyDescent="0.25">
      <c r="A95" s="3" t="s">
        <v>13</v>
      </c>
      <c r="B95" s="3" t="s">
        <v>221</v>
      </c>
      <c r="C95" s="3" t="s">
        <v>56</v>
      </c>
      <c r="D95" s="3">
        <v>355</v>
      </c>
      <c r="E95" s="3">
        <v>4</v>
      </c>
      <c r="F95" s="3">
        <v>6600</v>
      </c>
      <c r="G95" s="3">
        <v>50</v>
      </c>
      <c r="H95" s="3">
        <v>0</v>
      </c>
      <c r="I95" s="3" t="s">
        <v>16</v>
      </c>
      <c r="J95" s="3">
        <v>48</v>
      </c>
      <c r="K95" s="3">
        <v>36</v>
      </c>
      <c r="L95" s="3">
        <v>1.0601849999999999</v>
      </c>
      <c r="M95" s="3">
        <v>1.79</v>
      </c>
      <c r="N95" s="3" t="s">
        <v>222</v>
      </c>
      <c r="O95" s="6"/>
    </row>
    <row r="96" spans="1:15" x14ac:dyDescent="0.25">
      <c r="A96" s="3" t="s">
        <v>13</v>
      </c>
      <c r="B96" s="3" t="s">
        <v>223</v>
      </c>
      <c r="C96" s="3" t="s">
        <v>61</v>
      </c>
      <c r="D96" s="3">
        <v>560</v>
      </c>
      <c r="E96" s="3">
        <v>4</v>
      </c>
      <c r="F96" s="3">
        <v>3300</v>
      </c>
      <c r="G96" s="3">
        <v>50</v>
      </c>
      <c r="H96" s="3">
        <v>0</v>
      </c>
      <c r="I96" s="3" t="s">
        <v>16</v>
      </c>
      <c r="J96" s="3">
        <v>48</v>
      </c>
      <c r="K96" s="3">
        <v>38</v>
      </c>
      <c r="L96" s="3">
        <v>0</v>
      </c>
      <c r="M96" s="3">
        <v>1.79</v>
      </c>
      <c r="N96" s="3" t="s">
        <v>224</v>
      </c>
      <c r="O96" s="6"/>
    </row>
    <row r="97" spans="1:15" x14ac:dyDescent="0.25">
      <c r="A97" s="3" t="s">
        <v>28</v>
      </c>
      <c r="B97" s="3" t="s">
        <v>225</v>
      </c>
      <c r="C97" s="3" t="s">
        <v>56</v>
      </c>
      <c r="D97" s="3">
        <v>300</v>
      </c>
      <c r="E97" s="3">
        <v>4</v>
      </c>
      <c r="F97" s="3">
        <v>6600</v>
      </c>
      <c r="G97" s="3">
        <v>50</v>
      </c>
      <c r="H97" s="3">
        <v>0</v>
      </c>
      <c r="I97" s="3" t="s">
        <v>16</v>
      </c>
      <c r="J97" s="3">
        <v>48</v>
      </c>
      <c r="K97" s="3">
        <v>36</v>
      </c>
      <c r="L97" s="3">
        <v>1.0601849999999999</v>
      </c>
      <c r="M97" s="3">
        <v>1.79</v>
      </c>
      <c r="N97" s="3" t="s">
        <v>226</v>
      </c>
      <c r="O97" s="6"/>
    </row>
    <row r="98" spans="1:15" x14ac:dyDescent="0.25">
      <c r="A98" s="3" t="s">
        <v>13</v>
      </c>
      <c r="B98" s="3" t="s">
        <v>227</v>
      </c>
      <c r="C98" s="3" t="s">
        <v>207</v>
      </c>
      <c r="D98" s="3">
        <v>220</v>
      </c>
      <c r="E98" s="3">
        <v>4</v>
      </c>
      <c r="F98" s="3">
        <v>3300</v>
      </c>
      <c r="G98" s="3">
        <v>50</v>
      </c>
      <c r="H98" s="3">
        <v>0</v>
      </c>
      <c r="I98" s="3" t="s">
        <v>16</v>
      </c>
      <c r="J98" s="3">
        <v>48</v>
      </c>
      <c r="K98" s="3">
        <v>38</v>
      </c>
      <c r="L98" s="3">
        <v>0</v>
      </c>
      <c r="M98" s="3">
        <v>1.79</v>
      </c>
      <c r="N98" s="3" t="s">
        <v>228</v>
      </c>
      <c r="O98" s="6"/>
    </row>
    <row r="99" spans="1:15" x14ac:dyDescent="0.25">
      <c r="A99" s="3" t="s">
        <v>13</v>
      </c>
      <c r="B99" s="3" t="s">
        <v>229</v>
      </c>
      <c r="C99" s="3" t="s">
        <v>56</v>
      </c>
      <c r="D99" s="3">
        <v>336</v>
      </c>
      <c r="E99" s="3">
        <v>4</v>
      </c>
      <c r="F99" s="3">
        <v>6600</v>
      </c>
      <c r="G99" s="3">
        <v>50</v>
      </c>
      <c r="H99" s="3">
        <v>0</v>
      </c>
      <c r="I99" s="3" t="s">
        <v>16</v>
      </c>
      <c r="J99" s="3">
        <v>48</v>
      </c>
      <c r="K99" s="3">
        <v>36</v>
      </c>
      <c r="L99" s="3">
        <v>0</v>
      </c>
      <c r="M99" s="3">
        <v>1.79</v>
      </c>
      <c r="N99" s="3" t="s">
        <v>230</v>
      </c>
      <c r="O99" s="6"/>
    </row>
    <row r="100" spans="1:15" x14ac:dyDescent="0.25">
      <c r="A100" s="3" t="s">
        <v>13</v>
      </c>
      <c r="B100" s="3" t="s">
        <v>231</v>
      </c>
      <c r="C100" s="3" t="s">
        <v>99</v>
      </c>
      <c r="D100" s="3">
        <v>365</v>
      </c>
      <c r="E100" s="3">
        <v>6</v>
      </c>
      <c r="F100" s="3">
        <v>6600</v>
      </c>
      <c r="G100" s="3">
        <v>50</v>
      </c>
      <c r="H100" s="3">
        <v>0</v>
      </c>
      <c r="I100" s="3" t="s">
        <v>16</v>
      </c>
      <c r="J100" s="3">
        <v>54</v>
      </c>
      <c r="K100" s="3">
        <v>42</v>
      </c>
      <c r="L100" s="3">
        <v>0.99877000000000005</v>
      </c>
      <c r="M100" s="3">
        <v>1.79</v>
      </c>
      <c r="N100" s="3" t="s">
        <v>232</v>
      </c>
      <c r="O100" s="6"/>
    </row>
    <row r="101" spans="1:15" x14ac:dyDescent="0.25">
      <c r="A101" s="3" t="s">
        <v>13</v>
      </c>
      <c r="B101" s="3" t="s">
        <v>233</v>
      </c>
      <c r="C101" s="3" t="s">
        <v>207</v>
      </c>
      <c r="D101" s="3">
        <v>220</v>
      </c>
      <c r="E101" s="3">
        <v>4</v>
      </c>
      <c r="F101" s="3">
        <v>3300</v>
      </c>
      <c r="G101" s="3">
        <v>50</v>
      </c>
      <c r="H101" s="3">
        <v>0</v>
      </c>
      <c r="I101" s="3" t="s">
        <v>16</v>
      </c>
      <c r="J101" s="3">
        <v>48</v>
      </c>
      <c r="K101" s="3">
        <v>38</v>
      </c>
      <c r="L101" s="3">
        <v>0</v>
      </c>
      <c r="M101" s="3">
        <v>1.79</v>
      </c>
      <c r="N101" s="3" t="s">
        <v>234</v>
      </c>
      <c r="O101" s="6"/>
    </row>
    <row r="102" spans="1:15" x14ac:dyDescent="0.25">
      <c r="A102" s="3" t="s">
        <v>13</v>
      </c>
      <c r="B102" s="3" t="s">
        <v>235</v>
      </c>
      <c r="C102" s="3" t="s">
        <v>236</v>
      </c>
      <c r="D102" s="3">
        <v>240</v>
      </c>
      <c r="E102" s="3">
        <v>4</v>
      </c>
      <c r="F102" s="3">
        <v>3300</v>
      </c>
      <c r="G102" s="3">
        <v>50</v>
      </c>
      <c r="H102" s="3">
        <v>0</v>
      </c>
      <c r="I102" s="3" t="s">
        <v>16</v>
      </c>
      <c r="J102" s="3">
        <v>48</v>
      </c>
      <c r="K102" s="3">
        <v>38</v>
      </c>
      <c r="L102" s="3">
        <v>0</v>
      </c>
      <c r="M102" s="3">
        <v>1.79</v>
      </c>
      <c r="N102" s="3" t="s">
        <v>237</v>
      </c>
      <c r="O102" s="6"/>
    </row>
    <row r="103" spans="1:15" x14ac:dyDescent="0.25">
      <c r="A103" s="3" t="s">
        <v>13</v>
      </c>
      <c r="B103" s="3" t="s">
        <v>238</v>
      </c>
      <c r="C103" s="3" t="s">
        <v>38</v>
      </c>
      <c r="D103" s="3">
        <v>250</v>
      </c>
      <c r="E103" s="3">
        <v>6</v>
      </c>
      <c r="F103" s="3">
        <v>3300</v>
      </c>
      <c r="G103" s="3">
        <v>50</v>
      </c>
      <c r="H103" s="3">
        <v>0</v>
      </c>
      <c r="I103" s="3" t="s">
        <v>16</v>
      </c>
      <c r="J103" s="3">
        <v>54</v>
      </c>
      <c r="K103" s="3">
        <v>42</v>
      </c>
      <c r="L103" s="3">
        <v>0</v>
      </c>
      <c r="M103" s="3">
        <v>1.79</v>
      </c>
      <c r="N103" s="3" t="s">
        <v>239</v>
      </c>
      <c r="O103" s="6"/>
    </row>
    <row r="104" spans="1:15" x14ac:dyDescent="0.25">
      <c r="A104" s="3" t="s">
        <v>13</v>
      </c>
      <c r="B104" s="3" t="s">
        <v>240</v>
      </c>
      <c r="C104" s="3" t="s">
        <v>212</v>
      </c>
      <c r="D104" s="3">
        <v>315</v>
      </c>
      <c r="E104" s="3">
        <v>6</v>
      </c>
      <c r="F104" s="3">
        <v>3300</v>
      </c>
      <c r="G104" s="3">
        <v>50</v>
      </c>
      <c r="H104" s="3">
        <v>0</v>
      </c>
      <c r="I104" s="3" t="s">
        <v>16</v>
      </c>
      <c r="J104" s="3">
        <v>54</v>
      </c>
      <c r="K104" s="3">
        <v>40</v>
      </c>
      <c r="L104" s="3">
        <v>0</v>
      </c>
      <c r="M104" s="3">
        <v>1.79</v>
      </c>
      <c r="N104" s="3" t="s">
        <v>241</v>
      </c>
      <c r="O104" s="6"/>
    </row>
    <row r="105" spans="1:15" x14ac:dyDescent="0.25">
      <c r="A105" s="3" t="s">
        <v>13</v>
      </c>
      <c r="B105" s="3" t="s">
        <v>242</v>
      </c>
      <c r="C105" s="3" t="s">
        <v>56</v>
      </c>
      <c r="D105" s="3">
        <v>335</v>
      </c>
      <c r="E105" s="3">
        <v>4</v>
      </c>
      <c r="F105" s="3">
        <v>6600</v>
      </c>
      <c r="G105" s="3">
        <v>50</v>
      </c>
      <c r="H105" s="3">
        <v>0</v>
      </c>
      <c r="I105" s="3" t="s">
        <v>16</v>
      </c>
      <c r="J105" s="3">
        <v>48</v>
      </c>
      <c r="K105" s="3">
        <v>36</v>
      </c>
      <c r="L105" s="3">
        <v>1.0601849999999999</v>
      </c>
      <c r="M105" s="3">
        <v>1.79</v>
      </c>
      <c r="N105" s="3" t="s">
        <v>243</v>
      </c>
      <c r="O105" s="6"/>
    </row>
    <row r="106" spans="1:15" x14ac:dyDescent="0.25">
      <c r="A106" s="3" t="s">
        <v>13</v>
      </c>
      <c r="B106" s="3" t="s">
        <v>244</v>
      </c>
      <c r="C106" s="3" t="s">
        <v>110</v>
      </c>
      <c r="D106" s="3">
        <v>185</v>
      </c>
      <c r="E106" s="3">
        <v>4</v>
      </c>
      <c r="F106" s="3">
        <v>3300</v>
      </c>
      <c r="G106" s="3">
        <v>50</v>
      </c>
      <c r="H106" s="3">
        <v>0</v>
      </c>
      <c r="I106" s="3" t="s">
        <v>16</v>
      </c>
      <c r="J106" s="3">
        <v>48</v>
      </c>
      <c r="K106" s="3">
        <v>38</v>
      </c>
      <c r="L106" s="3">
        <v>0</v>
      </c>
      <c r="M106" s="3">
        <v>1.79</v>
      </c>
      <c r="N106" s="3" t="s">
        <v>245</v>
      </c>
      <c r="O106" s="6"/>
    </row>
    <row r="107" spans="1:15" x14ac:dyDescent="0.25">
      <c r="A107" s="3" t="s">
        <v>13</v>
      </c>
      <c r="B107" s="3" t="s">
        <v>246</v>
      </c>
      <c r="C107" s="3" t="s">
        <v>73</v>
      </c>
      <c r="D107" s="3">
        <v>750</v>
      </c>
      <c r="E107" s="3">
        <v>4</v>
      </c>
      <c r="F107" s="3">
        <v>660</v>
      </c>
      <c r="G107" s="3">
        <v>50</v>
      </c>
      <c r="H107" s="3">
        <v>1</v>
      </c>
      <c r="I107" s="3" t="s">
        <v>16</v>
      </c>
      <c r="J107" s="3">
        <v>48</v>
      </c>
      <c r="K107" s="3">
        <v>38</v>
      </c>
      <c r="L107" s="3">
        <v>0</v>
      </c>
      <c r="M107" s="3">
        <v>1.79</v>
      </c>
      <c r="N107" s="3" t="s">
        <v>247</v>
      </c>
      <c r="O107" s="6"/>
    </row>
    <row r="108" spans="1:15" x14ac:dyDescent="0.25">
      <c r="A108" s="3" t="s">
        <v>13</v>
      </c>
      <c r="B108" s="3" t="s">
        <v>248</v>
      </c>
      <c r="C108" s="3" t="s">
        <v>192</v>
      </c>
      <c r="D108" s="3">
        <v>365</v>
      </c>
      <c r="E108" s="3">
        <v>2</v>
      </c>
      <c r="F108" s="3">
        <v>2200</v>
      </c>
      <c r="G108" s="3">
        <v>50</v>
      </c>
      <c r="H108" s="3">
        <v>0</v>
      </c>
      <c r="I108" s="3" t="s">
        <v>16</v>
      </c>
      <c r="J108" s="3">
        <v>48</v>
      </c>
      <c r="K108" s="3">
        <v>40</v>
      </c>
      <c r="L108" s="3">
        <v>0</v>
      </c>
      <c r="M108" s="3">
        <v>1.79</v>
      </c>
      <c r="N108" s="3" t="s">
        <v>249</v>
      </c>
      <c r="O108" s="6"/>
    </row>
    <row r="109" spans="1:15" x14ac:dyDescent="0.25">
      <c r="A109" s="3" t="s">
        <v>13</v>
      </c>
      <c r="B109" s="3" t="s">
        <v>250</v>
      </c>
      <c r="C109" s="3" t="s">
        <v>15</v>
      </c>
      <c r="D109" s="3">
        <v>525</v>
      </c>
      <c r="E109" s="3">
        <v>4</v>
      </c>
      <c r="F109" s="3">
        <v>6600</v>
      </c>
      <c r="G109" s="3">
        <v>50</v>
      </c>
      <c r="H109" s="3">
        <v>0</v>
      </c>
      <c r="I109" s="3" t="s">
        <v>16</v>
      </c>
      <c r="J109" s="3">
        <v>48</v>
      </c>
      <c r="K109" s="3">
        <v>38</v>
      </c>
      <c r="L109" s="3">
        <v>0</v>
      </c>
      <c r="M109" s="3">
        <v>1.79</v>
      </c>
      <c r="N109" s="3" t="s">
        <v>251</v>
      </c>
      <c r="O109" s="6"/>
    </row>
    <row r="110" spans="1:15" x14ac:dyDescent="0.25">
      <c r="A110" s="3" t="s">
        <v>13</v>
      </c>
      <c r="B110" s="3" t="s">
        <v>252</v>
      </c>
      <c r="C110" s="3" t="s">
        <v>15</v>
      </c>
      <c r="D110" s="3">
        <v>450</v>
      </c>
      <c r="E110" s="3">
        <v>4</v>
      </c>
      <c r="F110" s="3">
        <v>6600</v>
      </c>
      <c r="G110" s="3">
        <v>50</v>
      </c>
      <c r="H110" s="3">
        <v>0</v>
      </c>
      <c r="I110" s="3" t="s">
        <v>16</v>
      </c>
      <c r="J110" s="3">
        <v>48</v>
      </c>
      <c r="K110" s="3">
        <v>38</v>
      </c>
      <c r="L110" s="3">
        <v>0</v>
      </c>
      <c r="M110" s="3">
        <v>1.79</v>
      </c>
      <c r="N110" s="3" t="s">
        <v>253</v>
      </c>
      <c r="O110" s="6"/>
    </row>
    <row r="111" spans="1:15" x14ac:dyDescent="0.25">
      <c r="A111" s="3" t="s">
        <v>13</v>
      </c>
      <c r="B111" s="3" t="s">
        <v>254</v>
      </c>
      <c r="C111" s="3" t="s">
        <v>15</v>
      </c>
      <c r="D111" s="3">
        <v>450</v>
      </c>
      <c r="E111" s="3">
        <v>4</v>
      </c>
      <c r="F111" s="3">
        <v>6600</v>
      </c>
      <c r="G111" s="3">
        <v>50</v>
      </c>
      <c r="H111" s="3">
        <v>0</v>
      </c>
      <c r="I111" s="3" t="s">
        <v>16</v>
      </c>
      <c r="J111" s="3">
        <v>48</v>
      </c>
      <c r="K111" s="3">
        <v>38</v>
      </c>
      <c r="L111" s="3">
        <v>0</v>
      </c>
      <c r="M111" s="3">
        <v>3.17</v>
      </c>
      <c r="N111" s="3" t="s">
        <v>255</v>
      </c>
      <c r="O111" s="6"/>
    </row>
    <row r="112" spans="1:15" x14ac:dyDescent="0.25">
      <c r="A112" s="3" t="s">
        <v>13</v>
      </c>
      <c r="B112" s="3" t="s">
        <v>250</v>
      </c>
      <c r="C112" s="3" t="s">
        <v>15</v>
      </c>
      <c r="D112" s="3">
        <v>450</v>
      </c>
      <c r="E112" s="3">
        <v>4</v>
      </c>
      <c r="F112" s="3">
        <v>6600</v>
      </c>
      <c r="G112" s="3">
        <v>50</v>
      </c>
      <c r="H112" s="3">
        <v>0</v>
      </c>
      <c r="I112" s="3" t="s">
        <v>16</v>
      </c>
      <c r="J112" s="3">
        <v>48</v>
      </c>
      <c r="K112" s="3">
        <v>38</v>
      </c>
      <c r="L112" s="3">
        <v>0</v>
      </c>
      <c r="M112" s="3">
        <v>3.17</v>
      </c>
      <c r="N112" s="3" t="s">
        <v>256</v>
      </c>
      <c r="O112" s="6"/>
    </row>
    <row r="113" spans="1:15" x14ac:dyDescent="0.25">
      <c r="A113" s="3" t="s">
        <v>13</v>
      </c>
      <c r="B113" s="3" t="s">
        <v>257</v>
      </c>
      <c r="C113" s="3" t="s">
        <v>30</v>
      </c>
      <c r="D113" s="3">
        <v>250</v>
      </c>
      <c r="E113" s="3">
        <v>4</v>
      </c>
      <c r="F113" s="3">
        <v>3300</v>
      </c>
      <c r="G113" s="3">
        <v>50</v>
      </c>
      <c r="H113" s="3">
        <v>0</v>
      </c>
      <c r="I113" s="3" t="s">
        <v>16</v>
      </c>
      <c r="J113" s="3">
        <v>48</v>
      </c>
      <c r="K113" s="3">
        <v>38</v>
      </c>
      <c r="L113" s="3">
        <v>0</v>
      </c>
      <c r="M113" s="3">
        <v>1.79</v>
      </c>
      <c r="N113" s="3" t="s">
        <v>258</v>
      </c>
      <c r="O113" s="6"/>
    </row>
    <row r="114" spans="1:15" x14ac:dyDescent="0.25">
      <c r="A114" s="3" t="s">
        <v>13</v>
      </c>
      <c r="B114" s="3" t="s">
        <v>259</v>
      </c>
      <c r="C114" s="3" t="s">
        <v>15</v>
      </c>
      <c r="D114" s="3">
        <v>450</v>
      </c>
      <c r="E114" s="3">
        <v>4</v>
      </c>
      <c r="F114" s="3">
        <v>6600</v>
      </c>
      <c r="G114" s="3">
        <v>50</v>
      </c>
      <c r="H114" s="3">
        <v>0</v>
      </c>
      <c r="I114" s="3" t="s">
        <v>16</v>
      </c>
      <c r="J114" s="3">
        <v>48</v>
      </c>
      <c r="K114" s="3">
        <v>36</v>
      </c>
      <c r="L114" s="3">
        <v>0</v>
      </c>
      <c r="M114" s="3">
        <v>3.17</v>
      </c>
      <c r="N114" s="3" t="s">
        <v>260</v>
      </c>
      <c r="O114" s="6"/>
    </row>
    <row r="115" spans="1:15" x14ac:dyDescent="0.25">
      <c r="A115" s="3" t="s">
        <v>13</v>
      </c>
      <c r="B115" s="3" t="s">
        <v>261</v>
      </c>
      <c r="C115" s="3" t="s">
        <v>19</v>
      </c>
      <c r="D115" s="3">
        <v>400</v>
      </c>
      <c r="E115" s="3">
        <v>4</v>
      </c>
      <c r="F115" s="3">
        <v>3300</v>
      </c>
      <c r="G115" s="3">
        <v>50</v>
      </c>
      <c r="H115" s="3">
        <v>0</v>
      </c>
      <c r="I115" s="3" t="s">
        <v>16</v>
      </c>
      <c r="J115" s="3">
        <v>48</v>
      </c>
      <c r="K115" s="3">
        <v>38</v>
      </c>
      <c r="L115" s="3">
        <v>0</v>
      </c>
      <c r="M115" s="3">
        <v>2.33</v>
      </c>
      <c r="N115" s="3" t="s">
        <v>262</v>
      </c>
      <c r="O115" s="6"/>
    </row>
    <row r="116" spans="1:15" x14ac:dyDescent="0.25">
      <c r="A116" s="3" t="s">
        <v>13</v>
      </c>
      <c r="B116" s="3" t="s">
        <v>263</v>
      </c>
      <c r="C116" s="3" t="s">
        <v>110</v>
      </c>
      <c r="D116" s="3">
        <v>160</v>
      </c>
      <c r="E116" s="3">
        <v>4</v>
      </c>
      <c r="F116" s="3">
        <v>3300</v>
      </c>
      <c r="G116" s="3">
        <v>50</v>
      </c>
      <c r="H116" s="3">
        <v>0</v>
      </c>
      <c r="I116" s="3" t="s">
        <v>16</v>
      </c>
      <c r="J116" s="3">
        <v>48</v>
      </c>
      <c r="K116" s="3">
        <v>38</v>
      </c>
      <c r="L116" s="3">
        <v>0</v>
      </c>
      <c r="M116" s="3">
        <v>1.79</v>
      </c>
      <c r="N116" s="3" t="s">
        <v>264</v>
      </c>
      <c r="O116" s="6"/>
    </row>
    <row r="117" spans="1:15" x14ac:dyDescent="0.25">
      <c r="A117" s="3" t="s">
        <v>13</v>
      </c>
      <c r="B117" s="3" t="s">
        <v>265</v>
      </c>
      <c r="C117" s="3" t="s">
        <v>38</v>
      </c>
      <c r="D117" s="3">
        <v>250</v>
      </c>
      <c r="E117" s="3">
        <v>6</v>
      </c>
      <c r="F117" s="3">
        <v>3300</v>
      </c>
      <c r="G117" s="3">
        <v>50</v>
      </c>
      <c r="H117" s="3">
        <v>0</v>
      </c>
      <c r="I117" s="3" t="s">
        <v>16</v>
      </c>
      <c r="J117" s="3">
        <v>54</v>
      </c>
      <c r="K117" s="3">
        <v>42</v>
      </c>
      <c r="L117" s="3">
        <v>0</v>
      </c>
      <c r="M117" s="3">
        <v>1.79</v>
      </c>
      <c r="N117" s="3" t="s">
        <v>266</v>
      </c>
      <c r="O117" s="6"/>
    </row>
    <row r="118" spans="1:15" x14ac:dyDescent="0.25">
      <c r="A118" s="3" t="s">
        <v>13</v>
      </c>
      <c r="B118" s="3" t="s">
        <v>267</v>
      </c>
      <c r="C118" s="3" t="s">
        <v>268</v>
      </c>
      <c r="D118" s="3">
        <v>230</v>
      </c>
      <c r="E118" s="3">
        <v>6</v>
      </c>
      <c r="F118" s="3">
        <v>3300</v>
      </c>
      <c r="G118" s="3">
        <v>50</v>
      </c>
      <c r="H118" s="3">
        <v>0</v>
      </c>
      <c r="I118" s="3" t="s">
        <v>16</v>
      </c>
      <c r="J118" s="3">
        <v>54</v>
      </c>
      <c r="K118" s="3">
        <v>42</v>
      </c>
      <c r="L118" s="3">
        <v>0</v>
      </c>
      <c r="M118" s="3">
        <v>1.79</v>
      </c>
      <c r="N118" s="3" t="s">
        <v>269</v>
      </c>
      <c r="O118" s="6"/>
    </row>
    <row r="119" spans="1:15" x14ac:dyDescent="0.25">
      <c r="A119" s="3" t="s">
        <v>13</v>
      </c>
      <c r="B119" s="3" t="s">
        <v>270</v>
      </c>
      <c r="C119" s="3" t="s">
        <v>15</v>
      </c>
      <c r="D119" s="3">
        <v>275</v>
      </c>
      <c r="E119" s="3">
        <v>8</v>
      </c>
      <c r="F119" s="3">
        <v>6600</v>
      </c>
      <c r="G119" s="3">
        <v>50</v>
      </c>
      <c r="H119" s="3">
        <v>0</v>
      </c>
      <c r="I119" s="3" t="s">
        <v>16</v>
      </c>
      <c r="J119" s="3">
        <v>72</v>
      </c>
      <c r="K119" s="3">
        <v>56</v>
      </c>
      <c r="L119" s="3">
        <v>0</v>
      </c>
      <c r="M119" s="3">
        <v>1.79</v>
      </c>
      <c r="N119" s="3" t="s">
        <v>271</v>
      </c>
      <c r="O119" s="6"/>
    </row>
    <row r="120" spans="1:15" x14ac:dyDescent="0.25">
      <c r="A120" s="3" t="s">
        <v>13</v>
      </c>
      <c r="B120" s="3" t="s">
        <v>272</v>
      </c>
      <c r="C120" s="3" t="s">
        <v>30</v>
      </c>
      <c r="D120" s="3">
        <v>250</v>
      </c>
      <c r="E120" s="3">
        <v>4</v>
      </c>
      <c r="F120" s="3">
        <v>6600</v>
      </c>
      <c r="G120" s="3">
        <v>50</v>
      </c>
      <c r="H120" s="3">
        <v>0</v>
      </c>
      <c r="I120" s="3" t="s">
        <v>16</v>
      </c>
      <c r="J120" s="3">
        <v>48</v>
      </c>
      <c r="K120" s="3">
        <v>38</v>
      </c>
      <c r="L120" s="3">
        <v>0</v>
      </c>
      <c r="M120" s="3">
        <v>1.79</v>
      </c>
      <c r="N120" s="3" t="s">
        <v>273</v>
      </c>
      <c r="O120" s="6"/>
    </row>
    <row r="121" spans="1:15" x14ac:dyDescent="0.25">
      <c r="A121" s="3" t="s">
        <v>13</v>
      </c>
      <c r="B121" s="3" t="s">
        <v>274</v>
      </c>
      <c r="C121" s="3" t="s">
        <v>23</v>
      </c>
      <c r="D121" s="3">
        <v>200</v>
      </c>
      <c r="E121" s="3">
        <v>4</v>
      </c>
      <c r="F121" s="3">
        <v>6600</v>
      </c>
      <c r="G121" s="3">
        <v>50</v>
      </c>
      <c r="H121" s="3">
        <v>0</v>
      </c>
      <c r="I121" s="3" t="s">
        <v>16</v>
      </c>
      <c r="J121" s="3">
        <v>48</v>
      </c>
      <c r="K121" s="3">
        <v>38</v>
      </c>
      <c r="L121" s="3">
        <v>0</v>
      </c>
      <c r="M121" s="3">
        <v>1.79</v>
      </c>
      <c r="N121" s="3" t="s">
        <v>275</v>
      </c>
      <c r="O121" s="6"/>
    </row>
    <row r="122" spans="1:15" x14ac:dyDescent="0.25">
      <c r="A122" s="3" t="s">
        <v>13</v>
      </c>
      <c r="B122" s="3" t="s">
        <v>276</v>
      </c>
      <c r="C122" s="3" t="s">
        <v>56</v>
      </c>
      <c r="D122" s="3">
        <v>315</v>
      </c>
      <c r="E122" s="3">
        <v>4</v>
      </c>
      <c r="F122" s="3">
        <v>6600</v>
      </c>
      <c r="G122" s="3">
        <v>50</v>
      </c>
      <c r="H122" s="3">
        <v>1</v>
      </c>
      <c r="I122" s="3" t="s">
        <v>16</v>
      </c>
      <c r="J122" s="3">
        <v>48</v>
      </c>
      <c r="K122" s="3">
        <v>38</v>
      </c>
      <c r="L122" s="3">
        <v>0</v>
      </c>
      <c r="M122" s="3">
        <v>1.79</v>
      </c>
      <c r="N122" s="3" t="s">
        <v>277</v>
      </c>
      <c r="O122" s="6"/>
    </row>
    <row r="123" spans="1:15" x14ac:dyDescent="0.25">
      <c r="A123" s="3" t="s">
        <v>13</v>
      </c>
      <c r="B123" s="3" t="s">
        <v>278</v>
      </c>
      <c r="C123" s="3" t="s">
        <v>131</v>
      </c>
      <c r="D123" s="3">
        <v>710</v>
      </c>
      <c r="E123" s="3">
        <v>4</v>
      </c>
      <c r="F123" s="3">
        <v>6600</v>
      </c>
      <c r="G123" s="3">
        <v>50</v>
      </c>
      <c r="H123" s="3">
        <v>1</v>
      </c>
      <c r="I123" s="3" t="s">
        <v>16</v>
      </c>
      <c r="J123" s="3">
        <v>48</v>
      </c>
      <c r="K123" s="3">
        <v>38</v>
      </c>
      <c r="L123" s="3">
        <v>0</v>
      </c>
      <c r="M123" s="3">
        <v>1.79</v>
      </c>
      <c r="N123" s="3" t="s">
        <v>279</v>
      </c>
      <c r="O123" s="6"/>
    </row>
    <row r="124" spans="1:15" x14ac:dyDescent="0.25">
      <c r="A124" s="3" t="s">
        <v>13</v>
      </c>
      <c r="B124" s="3" t="s">
        <v>280</v>
      </c>
      <c r="C124" s="3" t="s">
        <v>131</v>
      </c>
      <c r="D124" s="3">
        <v>630</v>
      </c>
      <c r="E124" s="3">
        <v>4</v>
      </c>
      <c r="F124" s="3">
        <v>6600</v>
      </c>
      <c r="G124" s="3">
        <v>50</v>
      </c>
      <c r="H124" s="3">
        <v>1</v>
      </c>
      <c r="I124" s="3" t="s">
        <v>16</v>
      </c>
      <c r="J124" s="3">
        <v>48</v>
      </c>
      <c r="K124" s="3">
        <v>38</v>
      </c>
      <c r="L124" s="3">
        <v>0</v>
      </c>
      <c r="M124" s="3">
        <v>1.79</v>
      </c>
      <c r="N124" s="3" t="s">
        <v>281</v>
      </c>
      <c r="O124" s="6"/>
    </row>
    <row r="125" spans="1:15" x14ac:dyDescent="0.25">
      <c r="A125" s="3" t="s">
        <v>13</v>
      </c>
      <c r="B125" s="3" t="s">
        <v>282</v>
      </c>
      <c r="C125" s="3" t="s">
        <v>236</v>
      </c>
      <c r="D125" s="3">
        <v>240</v>
      </c>
      <c r="E125" s="3">
        <v>4</v>
      </c>
      <c r="F125" s="3">
        <v>3300</v>
      </c>
      <c r="G125" s="3">
        <v>50</v>
      </c>
      <c r="H125" s="3">
        <v>0</v>
      </c>
      <c r="I125" s="3" t="s">
        <v>16</v>
      </c>
      <c r="J125" s="3">
        <v>48</v>
      </c>
      <c r="K125" s="3">
        <v>38</v>
      </c>
      <c r="L125" s="3">
        <v>0</v>
      </c>
      <c r="M125" s="3">
        <v>1.79</v>
      </c>
      <c r="N125" s="3" t="s">
        <v>283</v>
      </c>
      <c r="O125" s="6"/>
    </row>
    <row r="126" spans="1:15" x14ac:dyDescent="0.25">
      <c r="A126" s="3" t="s">
        <v>178</v>
      </c>
      <c r="B126" s="3" t="s">
        <v>284</v>
      </c>
      <c r="C126" s="3" t="s">
        <v>19</v>
      </c>
      <c r="D126" s="3">
        <v>400</v>
      </c>
      <c r="E126" s="3">
        <v>4</v>
      </c>
      <c r="F126" s="3">
        <v>3300</v>
      </c>
      <c r="G126" s="3">
        <v>50</v>
      </c>
      <c r="H126" s="3">
        <v>0</v>
      </c>
      <c r="I126" s="3" t="s">
        <v>16</v>
      </c>
      <c r="J126" s="3">
        <v>48</v>
      </c>
      <c r="K126" s="3">
        <v>38</v>
      </c>
      <c r="L126" s="3">
        <v>0</v>
      </c>
      <c r="M126" s="3">
        <v>1.79</v>
      </c>
      <c r="N126" s="3" t="s">
        <v>285</v>
      </c>
      <c r="O126" s="6"/>
    </row>
    <row r="127" spans="1:15" x14ac:dyDescent="0.25">
      <c r="A127" s="3" t="s">
        <v>13</v>
      </c>
      <c r="B127" s="3" t="s">
        <v>286</v>
      </c>
      <c r="C127" s="3" t="s">
        <v>30</v>
      </c>
      <c r="D127" s="3">
        <v>275</v>
      </c>
      <c r="E127" s="3">
        <v>4</v>
      </c>
      <c r="F127" s="3">
        <v>3300</v>
      </c>
      <c r="G127" s="3">
        <v>50</v>
      </c>
      <c r="H127" s="3">
        <v>0</v>
      </c>
      <c r="I127" s="3" t="s">
        <v>16</v>
      </c>
      <c r="J127" s="3">
        <v>48</v>
      </c>
      <c r="K127" s="3">
        <v>38</v>
      </c>
      <c r="L127" s="3">
        <v>0</v>
      </c>
      <c r="M127" s="3">
        <v>1.79</v>
      </c>
      <c r="N127" s="3" t="s">
        <v>287</v>
      </c>
      <c r="O127" s="6"/>
    </row>
    <row r="128" spans="1:15" x14ac:dyDescent="0.25">
      <c r="A128" s="3" t="s">
        <v>13</v>
      </c>
      <c r="B128" s="3" t="s">
        <v>288</v>
      </c>
      <c r="C128" s="3" t="s">
        <v>44</v>
      </c>
      <c r="D128" s="3">
        <v>450</v>
      </c>
      <c r="E128" s="3">
        <v>2</v>
      </c>
      <c r="F128" s="3">
        <v>3300</v>
      </c>
      <c r="G128" s="3">
        <v>50</v>
      </c>
      <c r="H128" s="3">
        <v>0</v>
      </c>
      <c r="I128" s="3" t="s">
        <v>16</v>
      </c>
      <c r="J128" s="3">
        <v>48</v>
      </c>
      <c r="K128" s="3">
        <v>40</v>
      </c>
      <c r="L128" s="3">
        <v>0</v>
      </c>
      <c r="M128" s="3">
        <v>1.79</v>
      </c>
      <c r="N128" s="3" t="s">
        <v>289</v>
      </c>
      <c r="O128" s="6"/>
    </row>
    <row r="129" spans="1:15" x14ac:dyDescent="0.25">
      <c r="A129" s="3" t="s">
        <v>13</v>
      </c>
      <c r="B129" s="3" t="s">
        <v>290</v>
      </c>
      <c r="C129" s="3" t="s">
        <v>73</v>
      </c>
      <c r="D129" s="3">
        <v>750</v>
      </c>
      <c r="E129" s="3">
        <v>4</v>
      </c>
      <c r="F129" s="3">
        <v>3300</v>
      </c>
      <c r="G129" s="3">
        <v>50</v>
      </c>
      <c r="H129" s="3">
        <v>0</v>
      </c>
      <c r="I129" s="3" t="s">
        <v>16</v>
      </c>
      <c r="J129" s="3">
        <v>48</v>
      </c>
      <c r="K129" s="3">
        <v>38</v>
      </c>
      <c r="L129" s="3">
        <v>0</v>
      </c>
      <c r="M129" s="3">
        <v>1.79</v>
      </c>
      <c r="N129" s="3" t="s">
        <v>291</v>
      </c>
      <c r="O129" s="6"/>
    </row>
    <row r="130" spans="1:15" x14ac:dyDescent="0.25">
      <c r="A130" s="3" t="s">
        <v>13</v>
      </c>
      <c r="B130" s="3" t="s">
        <v>292</v>
      </c>
      <c r="C130" s="3" t="s">
        <v>146</v>
      </c>
      <c r="D130" s="3">
        <v>400</v>
      </c>
      <c r="E130" s="3">
        <v>4</v>
      </c>
      <c r="F130" s="3">
        <v>6600</v>
      </c>
      <c r="G130" s="3">
        <v>50</v>
      </c>
      <c r="H130" s="3">
        <v>0</v>
      </c>
      <c r="I130" s="3" t="s">
        <v>16</v>
      </c>
      <c r="J130" s="3">
        <v>48</v>
      </c>
      <c r="K130" s="3">
        <v>38</v>
      </c>
      <c r="L130" s="3">
        <v>0</v>
      </c>
      <c r="M130" s="3">
        <v>1.79</v>
      </c>
      <c r="N130" s="3" t="s">
        <v>293</v>
      </c>
      <c r="O130" s="6"/>
    </row>
    <row r="131" spans="1:15" x14ac:dyDescent="0.25">
      <c r="A131" s="3" t="s">
        <v>13</v>
      </c>
      <c r="B131" s="3" t="s">
        <v>294</v>
      </c>
      <c r="C131" s="3" t="s">
        <v>207</v>
      </c>
      <c r="D131" s="3">
        <v>220</v>
      </c>
      <c r="E131" s="3">
        <v>4</v>
      </c>
      <c r="F131" s="3">
        <v>3300</v>
      </c>
      <c r="G131" s="3">
        <v>50</v>
      </c>
      <c r="H131" s="3">
        <v>0</v>
      </c>
      <c r="I131" s="3" t="s">
        <v>16</v>
      </c>
      <c r="J131" s="3">
        <v>48</v>
      </c>
      <c r="K131" s="3">
        <v>38</v>
      </c>
      <c r="L131" s="3">
        <v>0</v>
      </c>
      <c r="M131" s="3">
        <v>1.79</v>
      </c>
      <c r="N131" s="3" t="s">
        <v>295</v>
      </c>
      <c r="O131" s="6"/>
    </row>
    <row r="132" spans="1:15" x14ac:dyDescent="0.25">
      <c r="A132" s="3" t="s">
        <v>13</v>
      </c>
      <c r="B132" s="3" t="s">
        <v>296</v>
      </c>
      <c r="C132" s="3" t="s">
        <v>56</v>
      </c>
      <c r="D132" s="3">
        <v>315</v>
      </c>
      <c r="E132" s="3">
        <v>4</v>
      </c>
      <c r="F132" s="3">
        <v>6600</v>
      </c>
      <c r="G132" s="3">
        <v>50</v>
      </c>
      <c r="H132" s="3">
        <v>1</v>
      </c>
      <c r="I132" s="3" t="s">
        <v>16</v>
      </c>
      <c r="J132" s="3">
        <v>48</v>
      </c>
      <c r="K132" s="3">
        <v>38</v>
      </c>
      <c r="L132" s="3">
        <v>0</v>
      </c>
      <c r="M132" s="3">
        <v>1.79</v>
      </c>
      <c r="N132" s="3" t="s">
        <v>297</v>
      </c>
      <c r="O132" s="6"/>
    </row>
    <row r="133" spans="1:15" x14ac:dyDescent="0.25">
      <c r="A133" s="3" t="s">
        <v>13</v>
      </c>
      <c r="B133" s="3" t="s">
        <v>298</v>
      </c>
      <c r="C133" s="3" t="s">
        <v>299</v>
      </c>
      <c r="D133" s="3">
        <v>760</v>
      </c>
      <c r="E133" s="3">
        <v>4</v>
      </c>
      <c r="F133" s="3">
        <v>690</v>
      </c>
      <c r="G133" s="3">
        <v>50</v>
      </c>
      <c r="H133" s="3">
        <v>0</v>
      </c>
      <c r="I133" s="3" t="s">
        <v>16</v>
      </c>
      <c r="J133" s="3">
        <v>48</v>
      </c>
      <c r="K133" s="3">
        <v>38</v>
      </c>
      <c r="L133" s="3">
        <v>0</v>
      </c>
      <c r="M133" s="3">
        <v>2.63</v>
      </c>
      <c r="N133" s="3" t="s">
        <v>300</v>
      </c>
      <c r="O133" s="6"/>
    </row>
    <row r="134" spans="1:15" x14ac:dyDescent="0.25">
      <c r="A134" s="3" t="s">
        <v>13</v>
      </c>
      <c r="B134" s="3" t="s">
        <v>298</v>
      </c>
      <c r="C134" s="3" t="s">
        <v>301</v>
      </c>
      <c r="D134" s="3">
        <v>870</v>
      </c>
      <c r="E134" s="3">
        <v>4</v>
      </c>
      <c r="F134" s="3">
        <v>690</v>
      </c>
      <c r="G134" s="3">
        <v>50</v>
      </c>
      <c r="H134" s="3">
        <v>0</v>
      </c>
      <c r="I134" s="3" t="s">
        <v>16</v>
      </c>
      <c r="J134" s="3">
        <v>48</v>
      </c>
      <c r="K134" s="3">
        <v>38</v>
      </c>
      <c r="L134" s="3">
        <v>0</v>
      </c>
      <c r="M134" s="3">
        <v>2.63</v>
      </c>
      <c r="N134" s="3" t="s">
        <v>302</v>
      </c>
      <c r="O134" s="6"/>
    </row>
    <row r="135" spans="1:15" x14ac:dyDescent="0.25">
      <c r="A135" s="3" t="s">
        <v>13</v>
      </c>
      <c r="B135" s="3" t="s">
        <v>303</v>
      </c>
      <c r="C135" s="3" t="s">
        <v>299</v>
      </c>
      <c r="D135" s="3">
        <v>800</v>
      </c>
      <c r="E135" s="3">
        <v>4</v>
      </c>
      <c r="F135" s="3">
        <v>690</v>
      </c>
      <c r="G135" s="3">
        <v>50</v>
      </c>
      <c r="H135" s="3">
        <v>0</v>
      </c>
      <c r="I135" s="3" t="s">
        <v>16</v>
      </c>
      <c r="J135" s="3">
        <v>48</v>
      </c>
      <c r="K135" s="3">
        <v>38</v>
      </c>
      <c r="L135" s="3">
        <v>0</v>
      </c>
      <c r="M135" s="3">
        <v>2.3330000000000002</v>
      </c>
      <c r="N135" s="3" t="s">
        <v>304</v>
      </c>
      <c r="O135" s="6"/>
    </row>
    <row r="136" spans="1:15" x14ac:dyDescent="0.25">
      <c r="A136" s="3" t="s">
        <v>13</v>
      </c>
      <c r="B136" s="3" t="s">
        <v>305</v>
      </c>
      <c r="C136" s="3" t="s">
        <v>301</v>
      </c>
      <c r="D136" s="3">
        <v>900</v>
      </c>
      <c r="E136" s="3">
        <v>4</v>
      </c>
      <c r="F136" s="3">
        <v>660</v>
      </c>
      <c r="G136" s="3">
        <v>50</v>
      </c>
      <c r="H136" s="3">
        <v>0</v>
      </c>
      <c r="I136" s="3" t="s">
        <v>16</v>
      </c>
      <c r="J136" s="3">
        <v>48</v>
      </c>
      <c r="K136" s="3">
        <v>38</v>
      </c>
      <c r="L136" s="3">
        <v>0</v>
      </c>
      <c r="M136" s="3">
        <v>1.79</v>
      </c>
      <c r="N136" s="3" t="s">
        <v>306</v>
      </c>
      <c r="O136" s="6"/>
    </row>
    <row r="137" spans="1:15" x14ac:dyDescent="0.25">
      <c r="A137" s="3" t="s">
        <v>13</v>
      </c>
      <c r="B137" s="3" t="s">
        <v>307</v>
      </c>
      <c r="C137" s="3" t="s">
        <v>308</v>
      </c>
      <c r="D137" s="3">
        <v>2100</v>
      </c>
      <c r="E137" s="3">
        <v>4</v>
      </c>
      <c r="F137" s="3">
        <v>6600</v>
      </c>
      <c r="G137" s="3">
        <v>50</v>
      </c>
      <c r="H137" s="3">
        <v>0</v>
      </c>
      <c r="I137" s="3" t="s">
        <v>16</v>
      </c>
      <c r="J137" s="3">
        <v>60</v>
      </c>
      <c r="K137" s="3">
        <v>50</v>
      </c>
      <c r="L137" s="3">
        <v>0</v>
      </c>
      <c r="M137" s="3">
        <v>1.78</v>
      </c>
      <c r="N137" s="3" t="s">
        <v>309</v>
      </c>
      <c r="O137" s="6"/>
    </row>
    <row r="138" spans="1:15" x14ac:dyDescent="0.25">
      <c r="A138" s="3" t="s">
        <v>13</v>
      </c>
      <c r="B138" s="3" t="s">
        <v>310</v>
      </c>
      <c r="C138" s="3" t="s">
        <v>311</v>
      </c>
      <c r="D138" s="3">
        <v>450</v>
      </c>
      <c r="E138" s="3">
        <v>2</v>
      </c>
      <c r="F138" s="3">
        <v>11000</v>
      </c>
      <c r="G138" s="3">
        <v>50</v>
      </c>
      <c r="H138" s="3">
        <v>0</v>
      </c>
      <c r="I138" s="3" t="s">
        <v>16</v>
      </c>
      <c r="J138" s="3">
        <v>48</v>
      </c>
      <c r="K138" s="3">
        <v>38</v>
      </c>
      <c r="L138" s="3">
        <v>0</v>
      </c>
      <c r="M138" s="3">
        <v>1.78</v>
      </c>
      <c r="N138" s="3" t="s">
        <v>312</v>
      </c>
      <c r="O138" s="6"/>
    </row>
    <row r="139" spans="1:15" x14ac:dyDescent="0.25">
      <c r="A139" s="3" t="s">
        <v>13</v>
      </c>
      <c r="B139" s="3" t="s">
        <v>313</v>
      </c>
      <c r="C139" s="3" t="s">
        <v>314</v>
      </c>
      <c r="D139" s="3">
        <v>5400.4</v>
      </c>
      <c r="E139" s="3">
        <v>4</v>
      </c>
      <c r="F139" s="3">
        <v>11000</v>
      </c>
      <c r="G139" s="3">
        <v>50</v>
      </c>
      <c r="H139" s="3">
        <v>0</v>
      </c>
      <c r="I139" s="3" t="s">
        <v>16</v>
      </c>
      <c r="J139" s="3">
        <v>72</v>
      </c>
      <c r="K139" s="3">
        <v>82</v>
      </c>
      <c r="L139" s="3">
        <v>0</v>
      </c>
      <c r="M139" s="3">
        <v>2.2999999999999998</v>
      </c>
      <c r="N139" s="3" t="s">
        <v>315</v>
      </c>
      <c r="O139" s="6"/>
    </row>
    <row r="140" spans="1:15" x14ac:dyDescent="0.25">
      <c r="A140" s="3" t="s">
        <v>13</v>
      </c>
      <c r="B140" s="3" t="s">
        <v>316</v>
      </c>
      <c r="C140" s="3" t="s">
        <v>317</v>
      </c>
      <c r="D140" s="3">
        <v>2465</v>
      </c>
      <c r="E140" s="3">
        <v>2</v>
      </c>
      <c r="F140" s="3">
        <v>6600</v>
      </c>
      <c r="G140" s="3">
        <v>50</v>
      </c>
      <c r="H140" s="3">
        <v>0</v>
      </c>
      <c r="I140" s="3" t="s">
        <v>16</v>
      </c>
      <c r="J140" s="3">
        <v>54</v>
      </c>
      <c r="K140" s="3">
        <v>46</v>
      </c>
      <c r="L140" s="3">
        <v>0</v>
      </c>
      <c r="M140" s="3">
        <v>1.78</v>
      </c>
      <c r="N140" s="3" t="s">
        <v>318</v>
      </c>
      <c r="O140" s="6"/>
    </row>
    <row r="141" spans="1:15" x14ac:dyDescent="0.25">
      <c r="A141" s="3" t="s">
        <v>13</v>
      </c>
      <c r="B141" s="3" t="s">
        <v>319</v>
      </c>
      <c r="C141" s="3" t="s">
        <v>320</v>
      </c>
      <c r="D141" s="3">
        <v>840</v>
      </c>
      <c r="E141" s="3">
        <v>2</v>
      </c>
      <c r="F141" s="3">
        <v>3300</v>
      </c>
      <c r="G141" s="3">
        <v>50</v>
      </c>
      <c r="H141" s="3">
        <v>0</v>
      </c>
      <c r="I141" s="3" t="s">
        <v>16</v>
      </c>
      <c r="J141" s="3">
        <v>54</v>
      </c>
      <c r="K141" s="3">
        <v>46</v>
      </c>
      <c r="L141" s="3">
        <v>0</v>
      </c>
      <c r="M141" s="3">
        <v>1.78</v>
      </c>
      <c r="N141" s="3" t="s">
        <v>321</v>
      </c>
      <c r="O141" s="6"/>
    </row>
    <row r="142" spans="1:15" x14ac:dyDescent="0.25">
      <c r="A142" s="3" t="s">
        <v>13</v>
      </c>
      <c r="B142" s="3" t="s">
        <v>322</v>
      </c>
      <c r="C142" s="3" t="s">
        <v>323</v>
      </c>
      <c r="D142" s="3">
        <v>4200</v>
      </c>
      <c r="E142" s="3">
        <v>4</v>
      </c>
      <c r="F142" s="3">
        <v>3300</v>
      </c>
      <c r="G142" s="3">
        <v>50</v>
      </c>
      <c r="H142" s="3">
        <v>0</v>
      </c>
      <c r="I142" s="3" t="s">
        <v>16</v>
      </c>
      <c r="J142" s="3">
        <v>60</v>
      </c>
      <c r="K142" s="3">
        <v>68</v>
      </c>
      <c r="L142" s="3">
        <v>0</v>
      </c>
      <c r="M142" s="3">
        <v>1.78</v>
      </c>
      <c r="N142" s="3" t="s">
        <v>324</v>
      </c>
      <c r="O142" s="6"/>
    </row>
    <row r="143" spans="1:15" x14ac:dyDescent="0.25">
      <c r="A143" s="3" t="s">
        <v>13</v>
      </c>
      <c r="B143" s="3" t="s">
        <v>325</v>
      </c>
      <c r="C143" s="3" t="s">
        <v>326</v>
      </c>
      <c r="D143" s="3">
        <v>683</v>
      </c>
      <c r="E143" s="3">
        <v>6</v>
      </c>
      <c r="F143" s="3">
        <v>3300</v>
      </c>
      <c r="G143" s="3">
        <v>50</v>
      </c>
      <c r="H143" s="3">
        <v>0</v>
      </c>
      <c r="I143" s="3" t="s">
        <v>16</v>
      </c>
      <c r="J143" s="3">
        <v>72</v>
      </c>
      <c r="K143" s="3">
        <v>58</v>
      </c>
      <c r="L143" s="3">
        <v>0</v>
      </c>
      <c r="M143" s="3">
        <v>12.5</v>
      </c>
      <c r="N143" s="3" t="s">
        <v>327</v>
      </c>
      <c r="O143" s="6"/>
    </row>
    <row r="144" spans="1:15" x14ac:dyDescent="0.25">
      <c r="A144" s="3" t="s">
        <v>13</v>
      </c>
      <c r="B144" s="3" t="s">
        <v>328</v>
      </c>
      <c r="C144" s="3" t="s">
        <v>329</v>
      </c>
      <c r="D144" s="3">
        <v>335</v>
      </c>
      <c r="E144" s="3">
        <v>4</v>
      </c>
      <c r="F144" s="3">
        <v>6600</v>
      </c>
      <c r="G144" s="3">
        <v>50</v>
      </c>
      <c r="H144" s="3">
        <v>0</v>
      </c>
      <c r="I144" s="3" t="s">
        <v>16</v>
      </c>
      <c r="J144" s="3">
        <v>60</v>
      </c>
      <c r="K144" s="3">
        <v>50</v>
      </c>
      <c r="L144" s="3">
        <v>0</v>
      </c>
      <c r="M144" s="3">
        <v>1.78</v>
      </c>
      <c r="N144" s="3" t="s">
        <v>330</v>
      </c>
      <c r="O144" s="6"/>
    </row>
    <row r="145" spans="1:15" x14ac:dyDescent="0.25">
      <c r="A145" s="3" t="s">
        <v>13</v>
      </c>
      <c r="B145" s="3" t="s">
        <v>331</v>
      </c>
      <c r="C145" s="3" t="s">
        <v>92</v>
      </c>
      <c r="D145" s="3">
        <v>510</v>
      </c>
      <c r="E145" s="3">
        <v>2</v>
      </c>
      <c r="F145" s="3">
        <v>3300</v>
      </c>
      <c r="G145" s="3">
        <v>50</v>
      </c>
      <c r="H145" s="3">
        <v>0</v>
      </c>
      <c r="I145" s="3" t="s">
        <v>16</v>
      </c>
      <c r="J145" s="3">
        <v>48</v>
      </c>
      <c r="K145" s="3">
        <v>40</v>
      </c>
      <c r="L145" s="3">
        <v>0</v>
      </c>
      <c r="M145" s="3">
        <v>1.79</v>
      </c>
      <c r="N145" s="3" t="s">
        <v>332</v>
      </c>
      <c r="O145" s="6"/>
    </row>
    <row r="146" spans="1:15" x14ac:dyDescent="0.25">
      <c r="A146" s="3" t="s">
        <v>13</v>
      </c>
      <c r="B146" s="3" t="s">
        <v>333</v>
      </c>
      <c r="C146" s="3" t="s">
        <v>92</v>
      </c>
      <c r="D146" s="3">
        <v>450</v>
      </c>
      <c r="E146" s="3">
        <v>2</v>
      </c>
      <c r="F146" s="3">
        <v>6600</v>
      </c>
      <c r="G146" s="3">
        <v>50</v>
      </c>
      <c r="H146" s="3">
        <v>0</v>
      </c>
      <c r="I146" s="3" t="s">
        <v>16</v>
      </c>
      <c r="J146" s="3">
        <v>48</v>
      </c>
      <c r="K146" s="3">
        <v>40</v>
      </c>
      <c r="L146" s="3">
        <v>0</v>
      </c>
      <c r="M146" s="3">
        <v>1.79</v>
      </c>
      <c r="N146" s="3" t="s">
        <v>334</v>
      </c>
      <c r="O146" s="6"/>
    </row>
    <row r="147" spans="1:15" x14ac:dyDescent="0.25">
      <c r="A147" s="3" t="s">
        <v>13</v>
      </c>
      <c r="B147" s="3" t="s">
        <v>335</v>
      </c>
      <c r="C147" s="3" t="s">
        <v>336</v>
      </c>
      <c r="D147" s="3">
        <v>550</v>
      </c>
      <c r="E147" s="3">
        <v>8</v>
      </c>
      <c r="F147" s="3">
        <v>525</v>
      </c>
      <c r="G147" s="3">
        <v>50</v>
      </c>
      <c r="H147" s="3">
        <v>0</v>
      </c>
      <c r="I147" s="3" t="s">
        <v>16</v>
      </c>
      <c r="J147" s="3">
        <v>96</v>
      </c>
      <c r="K147" s="3">
        <v>74</v>
      </c>
      <c r="L147" s="3">
        <v>0</v>
      </c>
      <c r="M147" s="3">
        <v>1.79</v>
      </c>
      <c r="N147" s="3" t="s">
        <v>337</v>
      </c>
      <c r="O147" s="6"/>
    </row>
    <row r="148" spans="1:15" x14ac:dyDescent="0.25">
      <c r="A148" s="3" t="s">
        <v>13</v>
      </c>
      <c r="B148" s="3" t="s">
        <v>338</v>
      </c>
      <c r="C148" s="3" t="s">
        <v>89</v>
      </c>
      <c r="D148" s="3">
        <v>1020</v>
      </c>
      <c r="E148" s="3">
        <v>4</v>
      </c>
      <c r="F148" s="3">
        <v>3300</v>
      </c>
      <c r="G148" s="3">
        <v>50</v>
      </c>
      <c r="H148" s="3">
        <v>0</v>
      </c>
      <c r="I148" s="3" t="s">
        <v>16</v>
      </c>
      <c r="J148" s="3">
        <v>48</v>
      </c>
      <c r="K148" s="3">
        <v>38</v>
      </c>
      <c r="L148" s="3">
        <v>0</v>
      </c>
      <c r="M148" s="3">
        <v>1.79</v>
      </c>
      <c r="N148" s="3" t="s">
        <v>339</v>
      </c>
      <c r="O148" s="6"/>
    </row>
    <row r="149" spans="1:15" x14ac:dyDescent="0.25">
      <c r="A149" s="3" t="s">
        <v>13</v>
      </c>
      <c r="B149" s="3" t="s">
        <v>340</v>
      </c>
      <c r="C149" s="3" t="s">
        <v>49</v>
      </c>
      <c r="D149" s="3">
        <v>350</v>
      </c>
      <c r="E149" s="3">
        <v>2</v>
      </c>
      <c r="F149" s="3">
        <v>6600</v>
      </c>
      <c r="G149" s="3">
        <v>50</v>
      </c>
      <c r="H149" s="3">
        <v>0</v>
      </c>
      <c r="I149" s="3" t="s">
        <v>16</v>
      </c>
      <c r="J149" s="3">
        <v>48</v>
      </c>
      <c r="K149" s="3">
        <v>40</v>
      </c>
      <c r="L149" s="3">
        <v>0</v>
      </c>
      <c r="M149" s="3">
        <v>1.79</v>
      </c>
      <c r="N149" s="3" t="s">
        <v>341</v>
      </c>
      <c r="O149" s="6"/>
    </row>
    <row r="150" spans="1:15" x14ac:dyDescent="0.25">
      <c r="A150" s="3" t="s">
        <v>13</v>
      </c>
      <c r="B150" s="3" t="s">
        <v>342</v>
      </c>
      <c r="C150" s="3" t="s">
        <v>44</v>
      </c>
      <c r="D150" s="3">
        <v>450</v>
      </c>
      <c r="E150" s="3">
        <v>2</v>
      </c>
      <c r="F150" s="3">
        <v>3300</v>
      </c>
      <c r="G150" s="3">
        <v>50</v>
      </c>
      <c r="H150" s="3">
        <v>0</v>
      </c>
      <c r="I150" s="3" t="s">
        <v>16</v>
      </c>
      <c r="J150" s="3">
        <v>48</v>
      </c>
      <c r="K150" s="3">
        <v>40</v>
      </c>
      <c r="L150" s="3">
        <v>0</v>
      </c>
      <c r="M150" s="3">
        <v>1.79</v>
      </c>
      <c r="N150" s="3" t="s">
        <v>343</v>
      </c>
      <c r="O150" s="6"/>
    </row>
    <row r="151" spans="1:15" x14ac:dyDescent="0.25">
      <c r="A151" s="3" t="s">
        <v>13</v>
      </c>
      <c r="B151" s="3" t="s">
        <v>344</v>
      </c>
      <c r="C151" s="3" t="s">
        <v>336</v>
      </c>
      <c r="D151" s="3">
        <v>325</v>
      </c>
      <c r="E151" s="3">
        <v>6</v>
      </c>
      <c r="F151" s="3">
        <v>11000</v>
      </c>
      <c r="G151" s="3">
        <v>50</v>
      </c>
      <c r="H151" s="3">
        <v>0</v>
      </c>
      <c r="I151" s="3" t="s">
        <v>16</v>
      </c>
      <c r="J151" s="3">
        <v>72</v>
      </c>
      <c r="K151" s="3">
        <v>54</v>
      </c>
      <c r="L151" s="3">
        <v>1.2396</v>
      </c>
      <c r="M151" s="3">
        <v>1.79</v>
      </c>
      <c r="N151" s="3" t="s">
        <v>345</v>
      </c>
      <c r="O151" s="6"/>
    </row>
    <row r="152" spans="1:15" x14ac:dyDescent="0.25">
      <c r="A152" s="3" t="s">
        <v>13</v>
      </c>
      <c r="B152" s="3" t="s">
        <v>346</v>
      </c>
      <c r="C152" s="3" t="s">
        <v>64</v>
      </c>
      <c r="D152" s="3">
        <v>560</v>
      </c>
      <c r="E152" s="3">
        <v>6</v>
      </c>
      <c r="F152" s="3">
        <v>3300</v>
      </c>
      <c r="G152" s="3">
        <v>50</v>
      </c>
      <c r="H152" s="3">
        <v>0</v>
      </c>
      <c r="I152" s="3" t="s">
        <v>16</v>
      </c>
      <c r="J152" s="3">
        <v>54</v>
      </c>
      <c r="K152" s="3">
        <v>42</v>
      </c>
      <c r="L152" s="3">
        <v>1.26</v>
      </c>
      <c r="M152" s="3">
        <v>1.79</v>
      </c>
      <c r="N152" s="3" t="s">
        <v>347</v>
      </c>
      <c r="O152" s="6"/>
    </row>
    <row r="153" spans="1:15" x14ac:dyDescent="0.25">
      <c r="A153" s="3" t="s">
        <v>13</v>
      </c>
      <c r="B153" s="3" t="s">
        <v>348</v>
      </c>
      <c r="C153" s="3" t="s">
        <v>349</v>
      </c>
      <c r="D153" s="3">
        <v>480</v>
      </c>
      <c r="E153" s="3">
        <v>2</v>
      </c>
      <c r="F153" s="3">
        <v>690</v>
      </c>
      <c r="G153" s="3">
        <v>50</v>
      </c>
      <c r="H153" s="3">
        <v>0</v>
      </c>
      <c r="I153" s="3" t="s">
        <v>16</v>
      </c>
      <c r="J153" s="3">
        <v>60</v>
      </c>
      <c r="K153" s="3">
        <v>48</v>
      </c>
      <c r="L153" s="3">
        <v>0</v>
      </c>
      <c r="M153" s="3">
        <v>1.79</v>
      </c>
      <c r="N153" s="3" t="s">
        <v>350</v>
      </c>
      <c r="O153" s="6"/>
    </row>
    <row r="154" spans="1:15" x14ac:dyDescent="0.25">
      <c r="A154" s="3" t="s">
        <v>13</v>
      </c>
      <c r="B154" s="3" t="s">
        <v>351</v>
      </c>
      <c r="C154" s="3" t="s">
        <v>30</v>
      </c>
      <c r="D154" s="3">
        <v>320</v>
      </c>
      <c r="E154" s="3">
        <v>4</v>
      </c>
      <c r="F154" s="3">
        <v>6600</v>
      </c>
      <c r="G154" s="3">
        <v>60</v>
      </c>
      <c r="H154" s="3">
        <v>0</v>
      </c>
      <c r="I154" s="3" t="s">
        <v>16</v>
      </c>
      <c r="J154" s="3">
        <v>48</v>
      </c>
      <c r="K154" s="3">
        <v>36</v>
      </c>
      <c r="L154" s="3">
        <v>1.0601</v>
      </c>
      <c r="M154" s="3">
        <v>1.79</v>
      </c>
      <c r="N154" s="3" t="s">
        <v>352</v>
      </c>
      <c r="O154" s="6"/>
    </row>
    <row r="155" spans="1:15" x14ac:dyDescent="0.25">
      <c r="A155" s="3" t="s">
        <v>13</v>
      </c>
      <c r="B155" s="3" t="s">
        <v>353</v>
      </c>
      <c r="C155" s="3" t="s">
        <v>80</v>
      </c>
      <c r="D155" s="3">
        <v>510</v>
      </c>
      <c r="E155" s="3">
        <v>2</v>
      </c>
      <c r="F155" s="3">
        <v>6600</v>
      </c>
      <c r="G155" s="3">
        <v>50</v>
      </c>
      <c r="H155" s="3">
        <v>0</v>
      </c>
      <c r="I155" s="3" t="s">
        <v>16</v>
      </c>
      <c r="J155" s="3">
        <v>48</v>
      </c>
      <c r="K155" s="3">
        <v>40</v>
      </c>
      <c r="L155" s="3">
        <v>0</v>
      </c>
      <c r="M155" s="3">
        <v>1.79</v>
      </c>
      <c r="N155" s="3" t="s">
        <v>354</v>
      </c>
      <c r="O155" s="6"/>
    </row>
    <row r="156" spans="1:15" x14ac:dyDescent="0.25">
      <c r="A156" s="3" t="s">
        <v>13</v>
      </c>
      <c r="B156" s="3" t="s">
        <v>355</v>
      </c>
      <c r="C156" s="3" t="s">
        <v>299</v>
      </c>
      <c r="D156" s="3">
        <v>550</v>
      </c>
      <c r="E156" s="3">
        <v>8</v>
      </c>
      <c r="F156" s="3">
        <v>415</v>
      </c>
      <c r="G156" s="3">
        <v>50</v>
      </c>
      <c r="H156" s="3">
        <v>0</v>
      </c>
      <c r="I156" s="3" t="s">
        <v>16</v>
      </c>
      <c r="J156" s="3">
        <v>96</v>
      </c>
      <c r="K156" s="3">
        <v>74</v>
      </c>
      <c r="L156" s="3">
        <v>0</v>
      </c>
      <c r="M156" s="3">
        <v>1.79</v>
      </c>
      <c r="N156" s="3" t="s">
        <v>356</v>
      </c>
      <c r="O156" s="6"/>
    </row>
    <row r="157" spans="1:15" x14ac:dyDescent="0.25">
      <c r="A157" s="3" t="s">
        <v>21</v>
      </c>
      <c r="B157" s="3" t="s">
        <v>357</v>
      </c>
      <c r="C157" s="3" t="s">
        <v>110</v>
      </c>
      <c r="D157" s="3">
        <v>450</v>
      </c>
      <c r="E157" s="3">
        <v>4</v>
      </c>
      <c r="F157" s="3">
        <v>3300</v>
      </c>
      <c r="G157" s="3">
        <v>50</v>
      </c>
      <c r="H157" s="3">
        <v>0</v>
      </c>
      <c r="I157" s="3" t="s">
        <v>16</v>
      </c>
      <c r="J157" s="3">
        <v>48</v>
      </c>
      <c r="K157" s="3">
        <v>38</v>
      </c>
      <c r="L157" s="3">
        <v>0</v>
      </c>
      <c r="M157" s="3">
        <v>1.79</v>
      </c>
      <c r="N157" s="3" t="s">
        <v>358</v>
      </c>
      <c r="O157" s="6"/>
    </row>
    <row r="158" spans="1:15" x14ac:dyDescent="0.25">
      <c r="A158" s="3" t="s">
        <v>13</v>
      </c>
      <c r="B158" s="3" t="s">
        <v>359</v>
      </c>
      <c r="C158" s="3" t="s">
        <v>360</v>
      </c>
      <c r="D158" s="3">
        <v>400</v>
      </c>
      <c r="E158" s="3">
        <v>6</v>
      </c>
      <c r="F158" s="3">
        <v>11000</v>
      </c>
      <c r="G158" s="3">
        <v>50</v>
      </c>
      <c r="H158" s="3">
        <v>0</v>
      </c>
      <c r="I158" s="3" t="s">
        <v>16</v>
      </c>
      <c r="J158" s="3">
        <v>72</v>
      </c>
      <c r="K158" s="3">
        <v>54</v>
      </c>
      <c r="L158" s="3">
        <v>1.2396</v>
      </c>
      <c r="M158" s="3">
        <v>1.79</v>
      </c>
      <c r="N158" s="3" t="s">
        <v>361</v>
      </c>
      <c r="O158" s="6"/>
    </row>
    <row r="159" spans="1:15" x14ac:dyDescent="0.25">
      <c r="A159" s="3" t="s">
        <v>13</v>
      </c>
      <c r="B159" s="3" t="s">
        <v>362</v>
      </c>
      <c r="C159" s="3" t="s">
        <v>136</v>
      </c>
      <c r="D159" s="3">
        <v>550</v>
      </c>
      <c r="E159" s="3">
        <v>8</v>
      </c>
      <c r="F159" s="3">
        <v>6600</v>
      </c>
      <c r="G159" s="3">
        <v>50</v>
      </c>
      <c r="H159" s="3">
        <v>0</v>
      </c>
      <c r="I159" s="3" t="s">
        <v>16</v>
      </c>
      <c r="J159" s="3">
        <v>72</v>
      </c>
      <c r="K159" s="3">
        <v>88</v>
      </c>
      <c r="L159" s="3">
        <v>0</v>
      </c>
      <c r="M159" s="3">
        <v>1.79</v>
      </c>
      <c r="N159" s="3" t="s">
        <v>363</v>
      </c>
      <c r="O159" s="6"/>
    </row>
    <row r="160" spans="1:15" x14ac:dyDescent="0.25">
      <c r="A160" s="3" t="s">
        <v>13</v>
      </c>
      <c r="B160" s="3" t="s">
        <v>362</v>
      </c>
      <c r="C160" s="3" t="s">
        <v>360</v>
      </c>
      <c r="D160" s="3">
        <v>660</v>
      </c>
      <c r="E160" s="3">
        <v>8</v>
      </c>
      <c r="F160" s="3">
        <v>3300</v>
      </c>
      <c r="G160" s="3">
        <v>50</v>
      </c>
      <c r="H160" s="3">
        <v>0</v>
      </c>
      <c r="I160" s="3" t="s">
        <v>16</v>
      </c>
      <c r="J160" s="3">
        <v>72</v>
      </c>
      <c r="K160" s="3">
        <v>88</v>
      </c>
      <c r="L160" s="3">
        <v>0</v>
      </c>
      <c r="M160" s="3">
        <v>1.79</v>
      </c>
      <c r="N160" s="3" t="s">
        <v>364</v>
      </c>
      <c r="O160" s="6"/>
    </row>
    <row r="161" spans="1:15" x14ac:dyDescent="0.25">
      <c r="A161" s="3" t="s">
        <v>13</v>
      </c>
      <c r="B161" s="3" t="s">
        <v>362</v>
      </c>
      <c r="C161" s="3" t="s">
        <v>136</v>
      </c>
      <c r="D161" s="3">
        <v>550</v>
      </c>
      <c r="E161" s="3">
        <v>8</v>
      </c>
      <c r="F161" s="3">
        <v>3300</v>
      </c>
      <c r="G161" s="3">
        <v>50</v>
      </c>
      <c r="H161" s="3">
        <v>0</v>
      </c>
      <c r="I161" s="3" t="s">
        <v>16</v>
      </c>
      <c r="J161" s="3">
        <v>72</v>
      </c>
      <c r="K161" s="3">
        <v>88</v>
      </c>
      <c r="L161" s="3">
        <v>0</v>
      </c>
      <c r="M161" s="3">
        <v>1.79</v>
      </c>
      <c r="N161" s="3" t="s">
        <v>365</v>
      </c>
      <c r="O161" s="6"/>
    </row>
    <row r="162" spans="1:15" x14ac:dyDescent="0.25">
      <c r="A162" s="3" t="s">
        <v>13</v>
      </c>
      <c r="B162" s="3" t="s">
        <v>366</v>
      </c>
      <c r="C162" s="3" t="s">
        <v>92</v>
      </c>
      <c r="D162" s="3">
        <v>500</v>
      </c>
      <c r="E162" s="3">
        <v>2</v>
      </c>
      <c r="F162" s="3">
        <v>6600</v>
      </c>
      <c r="G162" s="3">
        <v>50</v>
      </c>
      <c r="H162" s="3">
        <v>0</v>
      </c>
      <c r="I162" s="3" t="s">
        <v>16</v>
      </c>
      <c r="J162" s="3">
        <v>48</v>
      </c>
      <c r="K162" s="3">
        <v>40</v>
      </c>
      <c r="L162" s="3">
        <v>0</v>
      </c>
      <c r="M162" s="3">
        <v>1.79</v>
      </c>
      <c r="N162" s="3" t="s">
        <v>367</v>
      </c>
      <c r="O162" s="6"/>
    </row>
    <row r="163" spans="1:15" x14ac:dyDescent="0.25">
      <c r="A163" s="3" t="s">
        <v>13</v>
      </c>
      <c r="B163" s="3" t="s">
        <v>368</v>
      </c>
      <c r="C163" s="3" t="s">
        <v>89</v>
      </c>
      <c r="D163" s="3">
        <v>480</v>
      </c>
      <c r="E163" s="3">
        <v>4</v>
      </c>
      <c r="F163" s="3">
        <v>11000</v>
      </c>
      <c r="G163" s="3">
        <v>50</v>
      </c>
      <c r="H163" s="3">
        <v>0</v>
      </c>
      <c r="I163" s="3" t="s">
        <v>16</v>
      </c>
      <c r="J163" s="3">
        <v>48</v>
      </c>
      <c r="K163" s="3">
        <v>38</v>
      </c>
      <c r="L163" s="3">
        <v>0</v>
      </c>
      <c r="M163" s="3">
        <v>1.79</v>
      </c>
      <c r="N163" s="3" t="s">
        <v>369</v>
      </c>
      <c r="O163" s="6"/>
    </row>
    <row r="164" spans="1:15" x14ac:dyDescent="0.25">
      <c r="A164" s="3" t="s">
        <v>13</v>
      </c>
      <c r="B164" s="3" t="s">
        <v>370</v>
      </c>
      <c r="C164" s="3" t="s">
        <v>61</v>
      </c>
      <c r="D164" s="3">
        <v>500</v>
      </c>
      <c r="E164" s="3">
        <v>6</v>
      </c>
      <c r="F164" s="3">
        <v>3300</v>
      </c>
      <c r="G164" s="3">
        <v>50</v>
      </c>
      <c r="H164" s="3">
        <v>1</v>
      </c>
      <c r="I164" s="3" t="s">
        <v>16</v>
      </c>
      <c r="J164" s="3">
        <v>54</v>
      </c>
      <c r="K164" s="3">
        <v>40</v>
      </c>
      <c r="L164" s="3">
        <v>0</v>
      </c>
      <c r="M164" s="3">
        <v>1.79</v>
      </c>
      <c r="N164" s="3" t="s">
        <v>371</v>
      </c>
      <c r="O164" s="6"/>
    </row>
    <row r="165" spans="1:15" x14ac:dyDescent="0.25">
      <c r="A165" s="3" t="s">
        <v>13</v>
      </c>
      <c r="B165" s="3" t="s">
        <v>372</v>
      </c>
      <c r="C165" s="3" t="s">
        <v>80</v>
      </c>
      <c r="D165" s="3">
        <v>650</v>
      </c>
      <c r="E165" s="3">
        <v>2</v>
      </c>
      <c r="F165" s="3">
        <v>3300</v>
      </c>
      <c r="G165" s="3">
        <v>50</v>
      </c>
      <c r="H165" s="3">
        <v>0</v>
      </c>
      <c r="I165" s="3" t="s">
        <v>16</v>
      </c>
      <c r="J165" s="3">
        <v>48</v>
      </c>
      <c r="K165" s="3">
        <v>40</v>
      </c>
      <c r="L165" s="3">
        <v>0</v>
      </c>
      <c r="M165" s="3">
        <v>1.79</v>
      </c>
      <c r="N165" s="3" t="s">
        <v>373</v>
      </c>
      <c r="O165" s="6"/>
    </row>
    <row r="166" spans="1:15" x14ac:dyDescent="0.25">
      <c r="A166" s="3" t="s">
        <v>13</v>
      </c>
      <c r="B166" s="3" t="s">
        <v>374</v>
      </c>
      <c r="C166" s="3" t="s">
        <v>80</v>
      </c>
      <c r="D166" s="3">
        <v>500</v>
      </c>
      <c r="E166" s="3">
        <v>2</v>
      </c>
      <c r="F166" s="3">
        <v>525</v>
      </c>
      <c r="G166" s="3">
        <v>50</v>
      </c>
      <c r="H166" s="3">
        <v>0</v>
      </c>
      <c r="I166" s="3" t="s">
        <v>16</v>
      </c>
      <c r="J166" s="3">
        <v>48</v>
      </c>
      <c r="K166" s="3">
        <v>40</v>
      </c>
      <c r="L166" s="3">
        <v>0</v>
      </c>
      <c r="M166" s="3">
        <v>1.79</v>
      </c>
      <c r="N166" s="3" t="s">
        <v>375</v>
      </c>
      <c r="O166" s="6"/>
    </row>
    <row r="167" spans="1:15" x14ac:dyDescent="0.25">
      <c r="A167" s="3" t="s">
        <v>13</v>
      </c>
      <c r="B167" s="3" t="s">
        <v>376</v>
      </c>
      <c r="C167" s="3" t="s">
        <v>89</v>
      </c>
      <c r="D167" s="3">
        <v>850</v>
      </c>
      <c r="E167" s="3">
        <v>4</v>
      </c>
      <c r="F167" s="3">
        <v>690</v>
      </c>
      <c r="G167" s="3">
        <v>50</v>
      </c>
      <c r="H167" s="3">
        <v>0</v>
      </c>
      <c r="I167" s="3" t="s">
        <v>16</v>
      </c>
      <c r="J167" s="3">
        <v>48</v>
      </c>
      <c r="K167" s="3">
        <v>38</v>
      </c>
      <c r="L167" s="3">
        <v>0</v>
      </c>
      <c r="M167" s="3">
        <v>1.79</v>
      </c>
      <c r="N167" s="3" t="s">
        <v>377</v>
      </c>
      <c r="O167" s="6"/>
    </row>
    <row r="168" spans="1:15" x14ac:dyDescent="0.25">
      <c r="A168" s="3" t="s">
        <v>13</v>
      </c>
      <c r="B168" s="3" t="s">
        <v>378</v>
      </c>
      <c r="C168" s="3" t="s">
        <v>73</v>
      </c>
      <c r="D168" s="3">
        <v>750</v>
      </c>
      <c r="E168" s="3">
        <v>4</v>
      </c>
      <c r="F168" s="3">
        <v>3300</v>
      </c>
      <c r="G168" s="3">
        <v>50</v>
      </c>
      <c r="H168" s="3">
        <v>0</v>
      </c>
      <c r="I168" s="3" t="s">
        <v>16</v>
      </c>
      <c r="J168" s="3">
        <v>48</v>
      </c>
      <c r="K168" s="3">
        <v>38</v>
      </c>
      <c r="L168" s="3">
        <v>0</v>
      </c>
      <c r="M168" s="3">
        <v>1.79</v>
      </c>
      <c r="N168" s="3" t="s">
        <v>379</v>
      </c>
      <c r="O168" s="6"/>
    </row>
    <row r="169" spans="1:15" x14ac:dyDescent="0.25">
      <c r="A169" s="3" t="s">
        <v>13</v>
      </c>
      <c r="B169" s="3" t="s">
        <v>380</v>
      </c>
      <c r="C169" s="3" t="s">
        <v>381</v>
      </c>
      <c r="D169" s="3">
        <v>500</v>
      </c>
      <c r="E169" s="3">
        <v>2</v>
      </c>
      <c r="F169" s="3">
        <v>11000</v>
      </c>
      <c r="G169" s="3">
        <v>50</v>
      </c>
      <c r="H169" s="3">
        <v>0</v>
      </c>
      <c r="I169" s="3" t="s">
        <v>16</v>
      </c>
      <c r="J169" s="3">
        <v>48</v>
      </c>
      <c r="K169" s="3">
        <v>40</v>
      </c>
      <c r="L169" s="3">
        <v>0</v>
      </c>
      <c r="M169" s="3">
        <v>1.79</v>
      </c>
      <c r="N169" s="3" t="s">
        <v>382</v>
      </c>
      <c r="O169" s="6"/>
    </row>
    <row r="170" spans="1:15" x14ac:dyDescent="0.25">
      <c r="A170" s="3" t="s">
        <v>13</v>
      </c>
      <c r="B170" s="3" t="s">
        <v>383</v>
      </c>
      <c r="C170" s="3" t="s">
        <v>61</v>
      </c>
      <c r="D170" s="3">
        <v>600</v>
      </c>
      <c r="E170" s="3">
        <v>4</v>
      </c>
      <c r="F170" s="3">
        <v>6600</v>
      </c>
      <c r="G170" s="3">
        <v>50</v>
      </c>
      <c r="H170" s="3">
        <v>0</v>
      </c>
      <c r="I170" s="3" t="s">
        <v>16</v>
      </c>
      <c r="J170" s="3">
        <v>48</v>
      </c>
      <c r="K170" s="3">
        <v>38</v>
      </c>
      <c r="L170" s="3">
        <v>0</v>
      </c>
      <c r="M170" s="3">
        <v>1.79</v>
      </c>
      <c r="N170" s="3" t="s">
        <v>384</v>
      </c>
      <c r="O170" s="6"/>
    </row>
    <row r="171" spans="1:15" x14ac:dyDescent="0.25">
      <c r="A171" s="3" t="s">
        <v>13</v>
      </c>
      <c r="B171" s="3" t="s">
        <v>385</v>
      </c>
      <c r="C171" s="3" t="s">
        <v>38</v>
      </c>
      <c r="D171" s="3">
        <v>350</v>
      </c>
      <c r="E171" s="3">
        <v>6</v>
      </c>
      <c r="F171" s="3">
        <v>4160</v>
      </c>
      <c r="G171" s="3">
        <v>60</v>
      </c>
      <c r="H171" s="3">
        <v>0</v>
      </c>
      <c r="I171" s="3" t="s">
        <v>16</v>
      </c>
      <c r="J171" s="3">
        <v>54</v>
      </c>
      <c r="K171" s="3">
        <v>40</v>
      </c>
      <c r="L171" s="3">
        <v>0</v>
      </c>
      <c r="M171" s="3">
        <v>1.79</v>
      </c>
      <c r="N171" s="3" t="s">
        <v>386</v>
      </c>
      <c r="O171" s="6"/>
    </row>
    <row r="172" spans="1:15" x14ac:dyDescent="0.25">
      <c r="A172" s="3" t="s">
        <v>13</v>
      </c>
      <c r="B172" s="3" t="s">
        <v>387</v>
      </c>
      <c r="C172" s="3" t="s">
        <v>89</v>
      </c>
      <c r="D172" s="3">
        <v>470</v>
      </c>
      <c r="E172" s="3">
        <v>6</v>
      </c>
      <c r="F172" s="3">
        <v>11000</v>
      </c>
      <c r="G172" s="3">
        <v>50</v>
      </c>
      <c r="H172" s="3">
        <v>0</v>
      </c>
      <c r="I172" s="3" t="s">
        <v>16</v>
      </c>
      <c r="J172" s="3">
        <v>72</v>
      </c>
      <c r="K172" s="3">
        <v>54</v>
      </c>
      <c r="L172" s="3">
        <v>1.2396</v>
      </c>
      <c r="M172" s="3">
        <v>1.79</v>
      </c>
      <c r="N172" s="3" t="s">
        <v>388</v>
      </c>
      <c r="O172" s="6"/>
    </row>
    <row r="173" spans="1:15" x14ac:dyDescent="0.25">
      <c r="A173" s="3" t="s">
        <v>13</v>
      </c>
      <c r="B173" s="3" t="s">
        <v>389</v>
      </c>
      <c r="C173" s="3" t="s">
        <v>136</v>
      </c>
      <c r="D173" s="3">
        <v>700</v>
      </c>
      <c r="E173" s="3">
        <v>6</v>
      </c>
      <c r="F173" s="3">
        <v>6600</v>
      </c>
      <c r="G173" s="3">
        <v>50</v>
      </c>
      <c r="H173" s="3">
        <v>0</v>
      </c>
      <c r="I173" s="3" t="s">
        <v>16</v>
      </c>
      <c r="J173" s="3">
        <v>72</v>
      </c>
      <c r="K173" s="3">
        <v>54</v>
      </c>
      <c r="L173" s="3">
        <v>1.2396</v>
      </c>
      <c r="M173" s="3">
        <v>1.79</v>
      </c>
      <c r="N173" s="3" t="s">
        <v>390</v>
      </c>
      <c r="O173" s="6"/>
    </row>
    <row r="174" spans="1:15" x14ac:dyDescent="0.25">
      <c r="A174" s="3" t="s">
        <v>13</v>
      </c>
      <c r="B174" s="3" t="s">
        <v>391</v>
      </c>
      <c r="C174" s="3" t="s">
        <v>136</v>
      </c>
      <c r="D174" s="3">
        <v>700</v>
      </c>
      <c r="E174" s="3">
        <v>6</v>
      </c>
      <c r="F174" s="3">
        <v>6600</v>
      </c>
      <c r="G174" s="3">
        <v>50</v>
      </c>
      <c r="H174" s="3">
        <v>0</v>
      </c>
      <c r="I174" s="3" t="s">
        <v>16</v>
      </c>
      <c r="J174" s="3">
        <v>72</v>
      </c>
      <c r="K174" s="3">
        <v>54</v>
      </c>
      <c r="L174" s="3">
        <v>0</v>
      </c>
      <c r="M174" s="3">
        <v>1.79</v>
      </c>
      <c r="N174" s="3" t="s">
        <v>392</v>
      </c>
      <c r="O174" s="6"/>
    </row>
    <row r="175" spans="1:15" x14ac:dyDescent="0.25">
      <c r="A175" s="3" t="s">
        <v>13</v>
      </c>
      <c r="B175" s="3" t="s">
        <v>393</v>
      </c>
      <c r="C175" s="3" t="s">
        <v>38</v>
      </c>
      <c r="D175" s="3">
        <v>135</v>
      </c>
      <c r="E175" s="3">
        <v>8</v>
      </c>
      <c r="F175" s="3">
        <v>525</v>
      </c>
      <c r="G175" s="3">
        <v>50</v>
      </c>
      <c r="H175" s="3">
        <v>0</v>
      </c>
      <c r="I175" s="3" t="s">
        <v>16</v>
      </c>
      <c r="J175" s="3">
        <v>48</v>
      </c>
      <c r="K175" s="3">
        <v>40</v>
      </c>
      <c r="L175" s="3">
        <v>0</v>
      </c>
      <c r="M175" s="3">
        <v>2.8534604799999999</v>
      </c>
      <c r="N175" s="3" t="s">
        <v>394</v>
      </c>
      <c r="O175" s="6"/>
    </row>
    <row r="176" spans="1:15" x14ac:dyDescent="0.25">
      <c r="A176" s="3" t="s">
        <v>46</v>
      </c>
      <c r="B176" s="3" t="s">
        <v>395</v>
      </c>
      <c r="C176" s="3" t="s">
        <v>80</v>
      </c>
      <c r="D176" s="3">
        <v>500</v>
      </c>
      <c r="E176" s="3">
        <v>2</v>
      </c>
      <c r="F176" s="3">
        <v>6600</v>
      </c>
      <c r="G176" s="3">
        <v>50</v>
      </c>
      <c r="H176" s="3">
        <v>0</v>
      </c>
      <c r="I176" s="3" t="s">
        <v>16</v>
      </c>
      <c r="J176" s="3">
        <v>48</v>
      </c>
      <c r="K176" s="3">
        <v>40</v>
      </c>
      <c r="L176" s="3">
        <v>0</v>
      </c>
      <c r="M176" s="3">
        <v>1.79</v>
      </c>
      <c r="N176" s="3" t="s">
        <v>396</v>
      </c>
      <c r="O176" s="6"/>
    </row>
    <row r="177" spans="1:15" x14ac:dyDescent="0.25">
      <c r="A177" s="3" t="s">
        <v>13</v>
      </c>
      <c r="B177" s="3" t="s">
        <v>397</v>
      </c>
      <c r="C177" s="3" t="s">
        <v>146</v>
      </c>
      <c r="D177" s="3">
        <v>450</v>
      </c>
      <c r="E177" s="3">
        <v>4</v>
      </c>
      <c r="F177" s="3">
        <v>3300</v>
      </c>
      <c r="G177" s="3">
        <v>50</v>
      </c>
      <c r="H177" s="3">
        <v>0</v>
      </c>
      <c r="I177" s="3" t="s">
        <v>16</v>
      </c>
      <c r="J177" s="3">
        <v>48</v>
      </c>
      <c r="K177" s="3">
        <v>36</v>
      </c>
      <c r="L177" s="3">
        <v>1.3187</v>
      </c>
      <c r="M177" s="3">
        <v>1.79</v>
      </c>
      <c r="N177" s="3" t="s">
        <v>398</v>
      </c>
      <c r="O177" s="6"/>
    </row>
    <row r="178" spans="1:15" x14ac:dyDescent="0.25">
      <c r="A178" s="3" t="s">
        <v>13</v>
      </c>
      <c r="B178" s="3" t="s">
        <v>399</v>
      </c>
      <c r="C178" s="3" t="s">
        <v>146</v>
      </c>
      <c r="D178" s="3">
        <v>450</v>
      </c>
      <c r="E178" s="3">
        <v>4</v>
      </c>
      <c r="F178" s="3">
        <v>3300</v>
      </c>
      <c r="G178" s="3">
        <v>50</v>
      </c>
      <c r="H178" s="3">
        <v>0</v>
      </c>
      <c r="I178" s="3" t="s">
        <v>16</v>
      </c>
      <c r="J178" s="3">
        <v>48</v>
      </c>
      <c r="K178" s="3">
        <v>38</v>
      </c>
      <c r="L178" s="3">
        <v>0</v>
      </c>
      <c r="M178" s="3">
        <v>1.79</v>
      </c>
      <c r="N178" s="3" t="s">
        <v>400</v>
      </c>
      <c r="O178" s="6"/>
    </row>
    <row r="179" spans="1:15" x14ac:dyDescent="0.25">
      <c r="A179" s="3" t="s">
        <v>13</v>
      </c>
      <c r="B179" s="3" t="s">
        <v>401</v>
      </c>
      <c r="C179" s="3" t="s">
        <v>73</v>
      </c>
      <c r="D179" s="3">
        <v>600</v>
      </c>
      <c r="E179" s="3">
        <v>6</v>
      </c>
      <c r="F179" s="3">
        <v>3300</v>
      </c>
      <c r="G179" s="3">
        <v>50</v>
      </c>
      <c r="H179" s="3">
        <v>0</v>
      </c>
      <c r="I179" s="3" t="s">
        <v>16</v>
      </c>
      <c r="J179" s="3">
        <v>54</v>
      </c>
      <c r="K179" s="3">
        <v>42</v>
      </c>
      <c r="L179" s="3">
        <v>1.26</v>
      </c>
      <c r="M179" s="3">
        <v>1.79</v>
      </c>
      <c r="N179" s="3" t="s">
        <v>402</v>
      </c>
      <c r="O179" s="6"/>
    </row>
    <row r="180" spans="1:15" x14ac:dyDescent="0.25">
      <c r="A180" s="3" t="s">
        <v>13</v>
      </c>
      <c r="B180" s="3" t="s">
        <v>403</v>
      </c>
      <c r="C180" s="3" t="s">
        <v>404</v>
      </c>
      <c r="D180" s="3">
        <v>630</v>
      </c>
      <c r="E180" s="3">
        <v>2</v>
      </c>
      <c r="F180" s="3">
        <v>6600</v>
      </c>
      <c r="G180" s="3">
        <v>50</v>
      </c>
      <c r="H180" s="3">
        <v>0</v>
      </c>
      <c r="I180" s="3" t="s">
        <v>16</v>
      </c>
      <c r="J180" s="3">
        <v>48</v>
      </c>
      <c r="K180" s="3">
        <v>40</v>
      </c>
      <c r="L180" s="3">
        <v>0</v>
      </c>
      <c r="M180" s="3">
        <v>1.79</v>
      </c>
      <c r="N180" s="3" t="s">
        <v>405</v>
      </c>
      <c r="O180" s="6"/>
    </row>
    <row r="181" spans="1:15" x14ac:dyDescent="0.25">
      <c r="A181" s="3" t="s">
        <v>13</v>
      </c>
      <c r="B181" s="3" t="s">
        <v>406</v>
      </c>
      <c r="C181" s="3" t="s">
        <v>49</v>
      </c>
      <c r="D181" s="3">
        <v>250</v>
      </c>
      <c r="E181" s="3">
        <v>2</v>
      </c>
      <c r="F181" s="3">
        <v>6600</v>
      </c>
      <c r="G181" s="3">
        <v>50</v>
      </c>
      <c r="H181" s="3">
        <v>0</v>
      </c>
      <c r="I181" s="3" t="s">
        <v>16</v>
      </c>
      <c r="J181" s="3">
        <v>48</v>
      </c>
      <c r="K181" s="3">
        <v>40</v>
      </c>
      <c r="L181" s="3">
        <v>0</v>
      </c>
      <c r="M181" s="3">
        <v>1.79</v>
      </c>
      <c r="N181" s="3" t="s">
        <v>407</v>
      </c>
      <c r="O181" s="6"/>
    </row>
    <row r="182" spans="1:15" x14ac:dyDescent="0.25">
      <c r="A182" s="3" t="s">
        <v>13</v>
      </c>
      <c r="B182" s="3" t="s">
        <v>368</v>
      </c>
      <c r="C182" s="3" t="s">
        <v>89</v>
      </c>
      <c r="D182" s="3">
        <v>600</v>
      </c>
      <c r="E182" s="3">
        <v>4</v>
      </c>
      <c r="F182" s="3">
        <v>10000</v>
      </c>
      <c r="G182" s="3">
        <v>50</v>
      </c>
      <c r="H182" s="3">
        <v>0</v>
      </c>
      <c r="I182" s="3" t="s">
        <v>16</v>
      </c>
      <c r="J182" s="3">
        <v>48</v>
      </c>
      <c r="K182" s="3">
        <v>38</v>
      </c>
      <c r="L182" s="3">
        <v>0</v>
      </c>
      <c r="M182" s="3">
        <v>1.79</v>
      </c>
      <c r="N182" s="3" t="s">
        <v>408</v>
      </c>
      <c r="O182" s="6"/>
    </row>
    <row r="183" spans="1:15" x14ac:dyDescent="0.25">
      <c r="A183" s="3" t="s">
        <v>13</v>
      </c>
      <c r="B183" s="3" t="s">
        <v>409</v>
      </c>
      <c r="C183" s="3" t="s">
        <v>56</v>
      </c>
      <c r="D183" s="3">
        <v>390</v>
      </c>
      <c r="E183" s="3">
        <v>4</v>
      </c>
      <c r="F183" s="3">
        <v>3300</v>
      </c>
      <c r="G183" s="3">
        <v>50</v>
      </c>
      <c r="H183" s="3">
        <v>0</v>
      </c>
      <c r="I183" s="3" t="s">
        <v>16</v>
      </c>
      <c r="J183" s="3">
        <v>48</v>
      </c>
      <c r="K183" s="3">
        <v>36</v>
      </c>
      <c r="L183" s="3">
        <v>1.06</v>
      </c>
      <c r="M183" s="3">
        <v>1.79</v>
      </c>
      <c r="N183" s="3" t="s">
        <v>410</v>
      </c>
      <c r="O183" s="6"/>
    </row>
    <row r="184" spans="1:15" x14ac:dyDescent="0.25">
      <c r="A184" s="3" t="s">
        <v>13</v>
      </c>
      <c r="B184" s="3" t="s">
        <v>305</v>
      </c>
      <c r="C184" s="3" t="s">
        <v>301</v>
      </c>
      <c r="D184" s="3">
        <v>900</v>
      </c>
      <c r="E184" s="3">
        <v>4</v>
      </c>
      <c r="F184" s="3">
        <v>660</v>
      </c>
      <c r="G184" s="3">
        <v>50</v>
      </c>
      <c r="H184" s="3">
        <v>1</v>
      </c>
      <c r="I184" s="3" t="s">
        <v>16</v>
      </c>
      <c r="J184" s="3">
        <v>48</v>
      </c>
      <c r="K184" s="3">
        <v>38</v>
      </c>
      <c r="L184" s="3">
        <v>0</v>
      </c>
      <c r="M184" s="3">
        <v>1.79</v>
      </c>
      <c r="N184" s="3" t="s">
        <v>411</v>
      </c>
      <c r="O184" s="6"/>
    </row>
    <row r="185" spans="1:15" x14ac:dyDescent="0.25">
      <c r="A185" s="3" t="s">
        <v>13</v>
      </c>
      <c r="B185" s="3" t="s">
        <v>412</v>
      </c>
      <c r="C185" s="3" t="s">
        <v>44</v>
      </c>
      <c r="D185" s="3">
        <v>375</v>
      </c>
      <c r="E185" s="3">
        <v>2</v>
      </c>
      <c r="F185" s="3">
        <v>6600</v>
      </c>
      <c r="G185" s="3">
        <v>50</v>
      </c>
      <c r="H185" s="3">
        <v>0</v>
      </c>
      <c r="I185" s="3" t="s">
        <v>16</v>
      </c>
      <c r="J185" s="3">
        <v>48</v>
      </c>
      <c r="K185" s="3">
        <v>40</v>
      </c>
      <c r="L185" s="3">
        <v>0</v>
      </c>
      <c r="M185" s="3">
        <v>1.79</v>
      </c>
      <c r="N185" s="3" t="s">
        <v>413</v>
      </c>
      <c r="O185" s="6"/>
    </row>
    <row r="186" spans="1:15" x14ac:dyDescent="0.25">
      <c r="A186" s="3" t="s">
        <v>178</v>
      </c>
      <c r="B186" s="3" t="s">
        <v>414</v>
      </c>
      <c r="C186" s="3" t="s">
        <v>23</v>
      </c>
      <c r="D186" s="3">
        <v>185</v>
      </c>
      <c r="E186" s="3">
        <v>4</v>
      </c>
      <c r="F186" s="3">
        <v>6600</v>
      </c>
      <c r="G186" s="3">
        <v>50</v>
      </c>
      <c r="H186" s="3">
        <v>0</v>
      </c>
      <c r="I186" s="3" t="s">
        <v>16</v>
      </c>
      <c r="J186" s="3">
        <v>48</v>
      </c>
      <c r="K186" s="3">
        <v>38</v>
      </c>
      <c r="L186" s="3">
        <v>0</v>
      </c>
      <c r="M186" s="3">
        <v>1.79</v>
      </c>
      <c r="N186" s="3" t="s">
        <v>415</v>
      </c>
      <c r="O186" s="6"/>
    </row>
    <row r="187" spans="1:15" x14ac:dyDescent="0.25">
      <c r="A187" s="3" t="s">
        <v>13</v>
      </c>
      <c r="B187" s="3" t="s">
        <v>416</v>
      </c>
      <c r="C187" s="3" t="s">
        <v>64</v>
      </c>
      <c r="D187" s="3">
        <v>575</v>
      </c>
      <c r="E187" s="3">
        <v>4</v>
      </c>
      <c r="F187" s="3">
        <v>3300</v>
      </c>
      <c r="G187" s="3">
        <v>50</v>
      </c>
      <c r="H187" s="3">
        <v>0</v>
      </c>
      <c r="I187" s="3" t="s">
        <v>16</v>
      </c>
      <c r="J187" s="3">
        <v>48</v>
      </c>
      <c r="K187" s="3">
        <v>38</v>
      </c>
      <c r="L187" s="3">
        <v>0</v>
      </c>
      <c r="M187" s="3">
        <v>1.79</v>
      </c>
      <c r="N187" s="3" t="s">
        <v>417</v>
      </c>
      <c r="O187" s="6"/>
    </row>
    <row r="188" spans="1:15" x14ac:dyDescent="0.25">
      <c r="A188" s="3" t="s">
        <v>28</v>
      </c>
      <c r="B188" s="3" t="s">
        <v>418</v>
      </c>
      <c r="C188" s="3" t="s">
        <v>56</v>
      </c>
      <c r="D188" s="3">
        <v>390</v>
      </c>
      <c r="E188" s="3">
        <v>4</v>
      </c>
      <c r="F188" s="3">
        <v>3300</v>
      </c>
      <c r="G188" s="3">
        <v>50</v>
      </c>
      <c r="H188" s="3">
        <v>0</v>
      </c>
      <c r="I188" s="3" t="s">
        <v>16</v>
      </c>
      <c r="J188" s="3">
        <v>48</v>
      </c>
      <c r="K188" s="3">
        <v>38</v>
      </c>
      <c r="L188" s="3">
        <v>0</v>
      </c>
      <c r="M188" s="3">
        <v>1.79</v>
      </c>
      <c r="N188" s="3" t="s">
        <v>419</v>
      </c>
      <c r="O188" s="6"/>
    </row>
    <row r="189" spans="1:15" x14ac:dyDescent="0.25">
      <c r="A189" s="3" t="s">
        <v>13</v>
      </c>
      <c r="B189" s="3" t="s">
        <v>420</v>
      </c>
      <c r="C189" s="3" t="s">
        <v>61</v>
      </c>
      <c r="D189" s="3">
        <v>630</v>
      </c>
      <c r="E189" s="3">
        <v>4</v>
      </c>
      <c r="F189" s="3">
        <v>525</v>
      </c>
      <c r="G189" s="3">
        <v>50</v>
      </c>
      <c r="H189" s="3">
        <v>0</v>
      </c>
      <c r="I189" s="3" t="s">
        <v>16</v>
      </c>
      <c r="J189" s="3">
        <v>48</v>
      </c>
      <c r="K189" s="3">
        <v>38</v>
      </c>
      <c r="L189" s="3">
        <v>0</v>
      </c>
      <c r="M189" s="3">
        <v>2.33</v>
      </c>
      <c r="N189" s="3" t="s">
        <v>421</v>
      </c>
      <c r="O189" s="6"/>
    </row>
    <row r="190" spans="1:15" x14ac:dyDescent="0.25">
      <c r="A190" s="3" t="s">
        <v>13</v>
      </c>
      <c r="B190" s="3" t="s">
        <v>422</v>
      </c>
      <c r="C190" s="3" t="s">
        <v>30</v>
      </c>
      <c r="D190" s="3">
        <v>250</v>
      </c>
      <c r="E190" s="3">
        <v>4</v>
      </c>
      <c r="F190" s="3">
        <v>6600</v>
      </c>
      <c r="G190" s="3">
        <v>50</v>
      </c>
      <c r="H190" s="3">
        <v>0</v>
      </c>
      <c r="I190" s="3" t="s">
        <v>16</v>
      </c>
      <c r="J190" s="3">
        <v>48</v>
      </c>
      <c r="K190" s="3">
        <v>38</v>
      </c>
      <c r="L190" s="3">
        <v>0</v>
      </c>
      <c r="M190" s="3">
        <v>2.33</v>
      </c>
      <c r="N190" s="3" t="s">
        <v>423</v>
      </c>
      <c r="O190" s="6"/>
    </row>
    <row r="191" spans="1:15" x14ac:dyDescent="0.25">
      <c r="A191" s="3" t="s">
        <v>13</v>
      </c>
      <c r="B191" s="3" t="s">
        <v>424</v>
      </c>
      <c r="C191" s="3" t="s">
        <v>61</v>
      </c>
      <c r="D191" s="3">
        <v>355</v>
      </c>
      <c r="E191" s="3">
        <v>6</v>
      </c>
      <c r="F191" s="3">
        <v>6600</v>
      </c>
      <c r="G191" s="3">
        <v>50</v>
      </c>
      <c r="H191" s="3">
        <v>0</v>
      </c>
      <c r="I191" s="3" t="s">
        <v>16</v>
      </c>
      <c r="J191" s="3">
        <v>54</v>
      </c>
      <c r="K191" s="3">
        <v>40</v>
      </c>
      <c r="L191" s="3">
        <v>0</v>
      </c>
      <c r="M191" s="3">
        <v>1.79</v>
      </c>
      <c r="N191" s="3" t="s">
        <v>425</v>
      </c>
      <c r="O191" s="6"/>
    </row>
    <row r="192" spans="1:15" x14ac:dyDescent="0.25">
      <c r="A192" s="3" t="s">
        <v>13</v>
      </c>
      <c r="B192" s="3" t="s">
        <v>426</v>
      </c>
      <c r="C192" s="3" t="s">
        <v>212</v>
      </c>
      <c r="D192" s="3">
        <v>315</v>
      </c>
      <c r="E192" s="3">
        <v>6</v>
      </c>
      <c r="F192" s="3">
        <v>6600</v>
      </c>
      <c r="G192" s="3">
        <v>50</v>
      </c>
      <c r="H192" s="3">
        <v>0</v>
      </c>
      <c r="I192" s="3" t="s">
        <v>16</v>
      </c>
      <c r="J192" s="3">
        <v>54</v>
      </c>
      <c r="K192" s="3">
        <v>42</v>
      </c>
      <c r="L192" s="3">
        <v>1</v>
      </c>
      <c r="M192" s="3">
        <v>1.79</v>
      </c>
      <c r="N192" s="3" t="s">
        <v>427</v>
      </c>
      <c r="O192" s="6"/>
    </row>
    <row r="193" spans="1:15" x14ac:dyDescent="0.25">
      <c r="A193" s="3" t="s">
        <v>13</v>
      </c>
      <c r="B193" s="3" t="s">
        <v>428</v>
      </c>
      <c r="C193" s="3" t="s">
        <v>124</v>
      </c>
      <c r="D193" s="3">
        <v>1800</v>
      </c>
      <c r="E193" s="3">
        <v>4</v>
      </c>
      <c r="F193" s="3">
        <v>6600</v>
      </c>
      <c r="G193" s="3">
        <v>50</v>
      </c>
      <c r="H193" s="3">
        <v>0</v>
      </c>
      <c r="I193" s="3" t="s">
        <v>16</v>
      </c>
      <c r="J193" s="3">
        <v>60</v>
      </c>
      <c r="K193" s="3">
        <v>50</v>
      </c>
      <c r="L193" s="3">
        <v>0</v>
      </c>
      <c r="M193" s="3">
        <v>1.79</v>
      </c>
      <c r="N193" s="3" t="s">
        <v>429</v>
      </c>
      <c r="O193" s="6"/>
    </row>
    <row r="194" spans="1:15" x14ac:dyDescent="0.25">
      <c r="A194" s="3" t="s">
        <v>13</v>
      </c>
      <c r="B194" s="3" t="s">
        <v>430</v>
      </c>
      <c r="C194" s="3" t="s">
        <v>124</v>
      </c>
      <c r="D194" s="3">
        <v>1450</v>
      </c>
      <c r="E194" s="3">
        <v>4</v>
      </c>
      <c r="F194" s="3">
        <v>11000</v>
      </c>
      <c r="G194" s="3">
        <v>50</v>
      </c>
      <c r="H194" s="3">
        <v>0</v>
      </c>
      <c r="I194" s="3" t="s">
        <v>16</v>
      </c>
      <c r="J194" s="3">
        <v>60</v>
      </c>
      <c r="K194" s="3">
        <v>50</v>
      </c>
      <c r="L194" s="3">
        <v>0</v>
      </c>
      <c r="M194" s="3">
        <v>6.3051399999999997</v>
      </c>
      <c r="N194" s="3" t="s">
        <v>431</v>
      </c>
      <c r="O194" s="6"/>
    </row>
    <row r="195" spans="1:15" x14ac:dyDescent="0.25">
      <c r="A195" s="3" t="s">
        <v>13</v>
      </c>
      <c r="B195" s="3" t="s">
        <v>432</v>
      </c>
      <c r="C195" s="3" t="s">
        <v>73</v>
      </c>
      <c r="D195" s="3">
        <v>750</v>
      </c>
      <c r="E195" s="3">
        <v>4</v>
      </c>
      <c r="F195" s="3">
        <v>3300</v>
      </c>
      <c r="G195" s="3">
        <v>50</v>
      </c>
      <c r="H195" s="3">
        <v>0</v>
      </c>
      <c r="I195" s="3" t="s">
        <v>16</v>
      </c>
      <c r="J195" s="3">
        <v>48</v>
      </c>
      <c r="K195" s="3">
        <v>38</v>
      </c>
      <c r="L195" s="3">
        <v>0</v>
      </c>
      <c r="M195" s="3">
        <v>1.79</v>
      </c>
      <c r="N195" s="3" t="s">
        <v>433</v>
      </c>
      <c r="O195" s="6"/>
    </row>
    <row r="196" spans="1:15" x14ac:dyDescent="0.25">
      <c r="A196" s="3" t="s">
        <v>13</v>
      </c>
      <c r="B196" s="3" t="s">
        <v>434</v>
      </c>
      <c r="C196" s="3" t="s">
        <v>110</v>
      </c>
      <c r="D196" s="3">
        <v>160</v>
      </c>
      <c r="E196" s="3">
        <v>4</v>
      </c>
      <c r="F196" s="3">
        <v>3300</v>
      </c>
      <c r="G196" s="3">
        <v>50</v>
      </c>
      <c r="H196" s="3">
        <v>0</v>
      </c>
      <c r="I196" s="3" t="s">
        <v>16</v>
      </c>
      <c r="J196" s="3">
        <v>48</v>
      </c>
      <c r="K196" s="3">
        <v>38</v>
      </c>
      <c r="L196" s="3">
        <v>0</v>
      </c>
      <c r="M196" s="3">
        <v>1.79</v>
      </c>
      <c r="N196" s="3" t="s">
        <v>435</v>
      </c>
      <c r="O196" s="6"/>
    </row>
    <row r="197" spans="1:15" x14ac:dyDescent="0.25">
      <c r="A197" s="3" t="s">
        <v>13</v>
      </c>
      <c r="B197" s="3" t="s">
        <v>436</v>
      </c>
      <c r="C197" s="3" t="s">
        <v>110</v>
      </c>
      <c r="D197" s="3">
        <v>160</v>
      </c>
      <c r="E197" s="3">
        <v>4</v>
      </c>
      <c r="F197" s="3">
        <v>3300</v>
      </c>
      <c r="G197" s="3">
        <v>50</v>
      </c>
      <c r="H197" s="3">
        <v>0</v>
      </c>
      <c r="I197" s="3" t="s">
        <v>16</v>
      </c>
      <c r="J197" s="3">
        <v>48</v>
      </c>
      <c r="K197" s="3">
        <v>38</v>
      </c>
      <c r="L197" s="3">
        <v>0</v>
      </c>
      <c r="M197" s="3">
        <v>1.79</v>
      </c>
      <c r="N197" s="3" t="s">
        <v>437</v>
      </c>
      <c r="O197" s="6"/>
    </row>
    <row r="198" spans="1:15" x14ac:dyDescent="0.25">
      <c r="A198" s="3" t="s">
        <v>13</v>
      </c>
      <c r="B198" s="3" t="s">
        <v>438</v>
      </c>
      <c r="C198" s="3" t="s">
        <v>92</v>
      </c>
      <c r="D198" s="3">
        <v>475</v>
      </c>
      <c r="E198" s="3">
        <v>2</v>
      </c>
      <c r="F198" s="3">
        <v>3300</v>
      </c>
      <c r="G198" s="3">
        <v>50</v>
      </c>
      <c r="H198" s="3">
        <v>0</v>
      </c>
      <c r="I198" s="3" t="s">
        <v>16</v>
      </c>
      <c r="J198" s="3">
        <v>48</v>
      </c>
      <c r="K198" s="3">
        <v>40</v>
      </c>
      <c r="L198" s="3">
        <v>0</v>
      </c>
      <c r="M198" s="3">
        <v>1.79</v>
      </c>
      <c r="N198" s="3" t="s">
        <v>439</v>
      </c>
      <c r="O198" s="6"/>
    </row>
    <row r="199" spans="1:15" x14ac:dyDescent="0.25">
      <c r="A199" s="3" t="s">
        <v>13</v>
      </c>
      <c r="B199" s="3" t="s">
        <v>440</v>
      </c>
      <c r="C199" s="3" t="s">
        <v>56</v>
      </c>
      <c r="D199" s="3">
        <v>315</v>
      </c>
      <c r="E199" s="3">
        <v>4</v>
      </c>
      <c r="F199" s="3">
        <v>6600</v>
      </c>
      <c r="G199" s="3">
        <v>50</v>
      </c>
      <c r="H199" s="3">
        <v>1</v>
      </c>
      <c r="I199" s="3" t="s">
        <v>16</v>
      </c>
      <c r="J199" s="3">
        <v>48</v>
      </c>
      <c r="K199" s="3">
        <v>38</v>
      </c>
      <c r="L199" s="3">
        <v>0</v>
      </c>
      <c r="M199" s="3">
        <v>1.79</v>
      </c>
      <c r="N199" s="3" t="s">
        <v>441</v>
      </c>
      <c r="O199" s="6"/>
    </row>
    <row r="200" spans="1:15" x14ac:dyDescent="0.25">
      <c r="A200" s="3" t="s">
        <v>13</v>
      </c>
      <c r="B200" s="3" t="s">
        <v>442</v>
      </c>
      <c r="C200" s="3" t="s">
        <v>131</v>
      </c>
      <c r="D200" s="3">
        <v>710</v>
      </c>
      <c r="E200" s="3">
        <v>4</v>
      </c>
      <c r="F200" s="3">
        <v>6600</v>
      </c>
      <c r="G200" s="3">
        <v>50</v>
      </c>
      <c r="H200" s="3">
        <v>1</v>
      </c>
      <c r="I200" s="3" t="s">
        <v>16</v>
      </c>
      <c r="J200" s="3">
        <v>48</v>
      </c>
      <c r="K200" s="3">
        <v>38</v>
      </c>
      <c r="L200" s="3">
        <v>0</v>
      </c>
      <c r="M200" s="3">
        <v>1.79</v>
      </c>
      <c r="N200" s="3" t="s">
        <v>443</v>
      </c>
      <c r="O200" s="6"/>
    </row>
    <row r="201" spans="1:15" x14ac:dyDescent="0.25">
      <c r="A201" s="3" t="s">
        <v>13</v>
      </c>
      <c r="B201" s="3" t="s">
        <v>444</v>
      </c>
      <c r="C201" s="3" t="s">
        <v>131</v>
      </c>
      <c r="D201" s="3">
        <v>630</v>
      </c>
      <c r="E201" s="3">
        <v>4</v>
      </c>
      <c r="F201" s="3">
        <v>6600</v>
      </c>
      <c r="G201" s="3">
        <v>50</v>
      </c>
      <c r="H201" s="3">
        <v>1</v>
      </c>
      <c r="I201" s="3" t="s">
        <v>16</v>
      </c>
      <c r="J201" s="3">
        <v>48</v>
      </c>
      <c r="K201" s="3">
        <v>38</v>
      </c>
      <c r="L201" s="3">
        <v>0</v>
      </c>
      <c r="M201" s="3">
        <v>1.79</v>
      </c>
      <c r="N201" s="3" t="s">
        <v>445</v>
      </c>
      <c r="O201" s="6"/>
    </row>
    <row r="202" spans="1:15" x14ac:dyDescent="0.25">
      <c r="A202" s="3" t="s">
        <v>13</v>
      </c>
      <c r="B202" s="3" t="s">
        <v>446</v>
      </c>
      <c r="C202" s="3" t="s">
        <v>73</v>
      </c>
      <c r="D202" s="3">
        <v>720</v>
      </c>
      <c r="E202" s="3">
        <v>4</v>
      </c>
      <c r="F202" s="3">
        <v>690</v>
      </c>
      <c r="G202" s="3">
        <v>50</v>
      </c>
      <c r="H202" s="3">
        <v>1</v>
      </c>
      <c r="I202" s="3" t="s">
        <v>16</v>
      </c>
      <c r="J202" s="3">
        <v>48</v>
      </c>
      <c r="K202" s="3">
        <v>38</v>
      </c>
      <c r="L202" s="3">
        <v>0</v>
      </c>
      <c r="M202" s="3">
        <v>1.79</v>
      </c>
      <c r="N202" s="3" t="s">
        <v>447</v>
      </c>
      <c r="O202" s="6"/>
    </row>
    <row r="203" spans="1:15" x14ac:dyDescent="0.25">
      <c r="A203" s="3" t="s">
        <v>13</v>
      </c>
      <c r="B203" s="3" t="s">
        <v>448</v>
      </c>
      <c r="C203" s="3" t="s">
        <v>15</v>
      </c>
      <c r="D203" s="3">
        <v>525</v>
      </c>
      <c r="E203" s="3">
        <v>4</v>
      </c>
      <c r="F203" s="3">
        <v>6600</v>
      </c>
      <c r="G203" s="3">
        <v>50</v>
      </c>
      <c r="H203" s="3">
        <v>0</v>
      </c>
      <c r="I203" s="3" t="s">
        <v>16</v>
      </c>
      <c r="J203" s="3">
        <v>48</v>
      </c>
      <c r="K203" s="3">
        <v>38</v>
      </c>
      <c r="L203" s="3">
        <v>0</v>
      </c>
      <c r="M203" s="3">
        <v>1.79</v>
      </c>
      <c r="N203" s="3" t="s">
        <v>449</v>
      </c>
      <c r="O203" s="6"/>
    </row>
    <row r="204" spans="1:15" x14ac:dyDescent="0.25">
      <c r="A204" s="3" t="s">
        <v>13</v>
      </c>
      <c r="B204" s="3" t="s">
        <v>448</v>
      </c>
      <c r="C204" s="3" t="s">
        <v>61</v>
      </c>
      <c r="D204" s="3">
        <v>525</v>
      </c>
      <c r="E204" s="3">
        <v>4</v>
      </c>
      <c r="F204" s="3">
        <v>6600</v>
      </c>
      <c r="G204" s="3">
        <v>50</v>
      </c>
      <c r="H204" s="3">
        <v>0</v>
      </c>
      <c r="I204" s="3" t="s">
        <v>16</v>
      </c>
      <c r="J204" s="3">
        <v>48</v>
      </c>
      <c r="K204" s="3">
        <v>38</v>
      </c>
      <c r="L204" s="3">
        <v>0</v>
      </c>
      <c r="M204" s="3">
        <v>1.79</v>
      </c>
      <c r="N204" s="3" t="s">
        <v>450</v>
      </c>
      <c r="O204" s="6"/>
    </row>
    <row r="205" spans="1:15" x14ac:dyDescent="0.25">
      <c r="A205" s="3" t="s">
        <v>13</v>
      </c>
      <c r="B205" s="3" t="s">
        <v>451</v>
      </c>
      <c r="C205" s="3" t="s">
        <v>15</v>
      </c>
      <c r="D205" s="3">
        <v>470</v>
      </c>
      <c r="E205" s="3">
        <v>4</v>
      </c>
      <c r="F205" s="3">
        <v>6600</v>
      </c>
      <c r="G205" s="3">
        <v>50</v>
      </c>
      <c r="H205" s="3">
        <v>0</v>
      </c>
      <c r="I205" s="3" t="s">
        <v>16</v>
      </c>
      <c r="J205" s="3">
        <v>48</v>
      </c>
      <c r="K205" s="3">
        <v>36</v>
      </c>
      <c r="L205" s="3">
        <v>1.3169999999999999</v>
      </c>
      <c r="M205" s="3">
        <v>1.79</v>
      </c>
      <c r="N205" s="3" t="s">
        <v>452</v>
      </c>
      <c r="O205" s="6"/>
    </row>
    <row r="206" spans="1:15" x14ac:dyDescent="0.25">
      <c r="A206" s="3" t="s">
        <v>13</v>
      </c>
      <c r="B206" s="3" t="s">
        <v>453</v>
      </c>
      <c r="C206" s="3" t="s">
        <v>38</v>
      </c>
      <c r="D206" s="3">
        <v>225</v>
      </c>
      <c r="E206" s="3">
        <v>6</v>
      </c>
      <c r="F206" s="3">
        <v>3300</v>
      </c>
      <c r="G206" s="3">
        <v>50</v>
      </c>
      <c r="H206" s="3">
        <v>0</v>
      </c>
      <c r="I206" s="3" t="s">
        <v>16</v>
      </c>
      <c r="J206" s="3">
        <v>54</v>
      </c>
      <c r="K206" s="3">
        <v>42</v>
      </c>
      <c r="L206" s="3">
        <v>0</v>
      </c>
      <c r="M206" s="3">
        <v>1.79</v>
      </c>
      <c r="N206" s="3" t="s">
        <v>454</v>
      </c>
      <c r="O206" s="6"/>
    </row>
    <row r="207" spans="1:15" x14ac:dyDescent="0.25">
      <c r="A207" s="3" t="s">
        <v>13</v>
      </c>
      <c r="B207" s="3" t="s">
        <v>455</v>
      </c>
      <c r="C207" s="3" t="s">
        <v>136</v>
      </c>
      <c r="D207" s="3">
        <v>560</v>
      </c>
      <c r="E207" s="3">
        <v>8</v>
      </c>
      <c r="F207" s="3">
        <v>400</v>
      </c>
      <c r="G207" s="3">
        <v>50</v>
      </c>
      <c r="H207" s="3">
        <v>1</v>
      </c>
      <c r="I207" s="3" t="s">
        <v>215</v>
      </c>
      <c r="J207" s="3">
        <v>72</v>
      </c>
      <c r="K207" s="3">
        <v>88</v>
      </c>
      <c r="L207" s="3">
        <v>0</v>
      </c>
      <c r="M207" s="3">
        <v>1.79</v>
      </c>
      <c r="N207" s="3" t="s">
        <v>456</v>
      </c>
      <c r="O207" s="6"/>
    </row>
    <row r="208" spans="1:15" x14ac:dyDescent="0.25">
      <c r="A208" s="3" t="s">
        <v>13</v>
      </c>
      <c r="B208" s="3" t="s">
        <v>457</v>
      </c>
      <c r="C208" s="3" t="s">
        <v>124</v>
      </c>
      <c r="D208" s="3">
        <v>1232</v>
      </c>
      <c r="E208" s="3">
        <v>6</v>
      </c>
      <c r="F208" s="3">
        <v>3300</v>
      </c>
      <c r="G208" s="3">
        <v>50</v>
      </c>
      <c r="H208" s="3">
        <v>1</v>
      </c>
      <c r="I208" s="3" t="s">
        <v>16</v>
      </c>
      <c r="J208" s="3">
        <v>72</v>
      </c>
      <c r="K208" s="3">
        <v>58</v>
      </c>
      <c r="L208" s="3">
        <v>0</v>
      </c>
      <c r="M208" s="3">
        <v>1.79</v>
      </c>
      <c r="N208" s="3" t="s">
        <v>458</v>
      </c>
      <c r="O208" s="6"/>
    </row>
    <row r="209" spans="1:15" x14ac:dyDescent="0.25">
      <c r="A209" s="3" t="s">
        <v>13</v>
      </c>
      <c r="B209" s="3" t="s">
        <v>459</v>
      </c>
      <c r="C209" s="3" t="s">
        <v>136</v>
      </c>
      <c r="D209" s="3">
        <v>731</v>
      </c>
      <c r="E209" s="3">
        <v>6</v>
      </c>
      <c r="F209" s="3">
        <v>3300</v>
      </c>
      <c r="G209" s="3">
        <v>50</v>
      </c>
      <c r="H209" s="3">
        <v>1</v>
      </c>
      <c r="I209" s="3" t="s">
        <v>16</v>
      </c>
      <c r="J209" s="3">
        <v>72</v>
      </c>
      <c r="K209" s="3">
        <v>58</v>
      </c>
      <c r="L209" s="3">
        <v>0</v>
      </c>
      <c r="M209" s="3">
        <v>1.79</v>
      </c>
      <c r="N209" s="3" t="s">
        <v>460</v>
      </c>
      <c r="O209" s="6"/>
    </row>
    <row r="210" spans="1:15" x14ac:dyDescent="0.25">
      <c r="A210" s="3" t="s">
        <v>13</v>
      </c>
      <c r="B210" s="3" t="s">
        <v>461</v>
      </c>
      <c r="C210" s="3" t="s">
        <v>462</v>
      </c>
      <c r="D210" s="3">
        <v>972</v>
      </c>
      <c r="E210" s="3">
        <v>6</v>
      </c>
      <c r="F210" s="3">
        <v>3300</v>
      </c>
      <c r="G210" s="3">
        <v>50</v>
      </c>
      <c r="H210" s="3">
        <v>1</v>
      </c>
      <c r="I210" s="3" t="s">
        <v>16</v>
      </c>
      <c r="J210" s="3">
        <v>72</v>
      </c>
      <c r="K210" s="3">
        <v>58</v>
      </c>
      <c r="L210" s="3">
        <v>0</v>
      </c>
      <c r="M210" s="3">
        <v>1.79</v>
      </c>
      <c r="N210" s="3" t="s">
        <v>463</v>
      </c>
      <c r="O210" s="6"/>
    </row>
    <row r="211" spans="1:15" x14ac:dyDescent="0.25">
      <c r="A211" s="3" t="s">
        <v>28</v>
      </c>
      <c r="B211" s="3" t="s">
        <v>464</v>
      </c>
      <c r="C211" s="3" t="s">
        <v>26</v>
      </c>
      <c r="D211" s="3">
        <v>185</v>
      </c>
      <c r="E211" s="3">
        <v>2</v>
      </c>
      <c r="F211" s="3">
        <v>6600</v>
      </c>
      <c r="G211" s="3">
        <v>50</v>
      </c>
      <c r="H211" s="3">
        <v>0</v>
      </c>
      <c r="I211" s="3" t="s">
        <v>16</v>
      </c>
      <c r="J211" s="3">
        <v>48</v>
      </c>
      <c r="K211" s="3">
        <v>40</v>
      </c>
      <c r="L211" s="3">
        <v>0</v>
      </c>
      <c r="M211" s="3">
        <v>1.79</v>
      </c>
      <c r="N211" s="3" t="s">
        <v>465</v>
      </c>
      <c r="O211" s="6"/>
    </row>
    <row r="212" spans="1:15" x14ac:dyDescent="0.25">
      <c r="A212" s="3" t="s">
        <v>21</v>
      </c>
      <c r="B212" s="3" t="s">
        <v>414</v>
      </c>
      <c r="C212" s="3" t="s">
        <v>23</v>
      </c>
      <c r="D212" s="3">
        <v>185</v>
      </c>
      <c r="E212" s="3">
        <v>4</v>
      </c>
      <c r="F212" s="3">
        <v>6600</v>
      </c>
      <c r="G212" s="3">
        <v>50</v>
      </c>
      <c r="H212" s="3">
        <v>0</v>
      </c>
      <c r="I212" s="3" t="s">
        <v>16</v>
      </c>
      <c r="J212" s="3">
        <v>48</v>
      </c>
      <c r="K212" s="3">
        <v>38</v>
      </c>
      <c r="L212" s="3">
        <v>0</v>
      </c>
      <c r="M212" s="3">
        <v>1.79</v>
      </c>
      <c r="N212" s="3" t="s">
        <v>466</v>
      </c>
      <c r="O212" s="6"/>
    </row>
    <row r="213" spans="1:15" x14ac:dyDescent="0.25">
      <c r="A213" s="3" t="s">
        <v>46</v>
      </c>
      <c r="B213" s="3" t="s">
        <v>467</v>
      </c>
      <c r="C213" s="3" t="s">
        <v>23</v>
      </c>
      <c r="D213" s="3">
        <v>200</v>
      </c>
      <c r="E213" s="3">
        <v>4</v>
      </c>
      <c r="F213" s="3">
        <v>6600</v>
      </c>
      <c r="G213" s="3">
        <v>50</v>
      </c>
      <c r="H213" s="3">
        <v>0</v>
      </c>
      <c r="I213" s="3" t="s">
        <v>16</v>
      </c>
      <c r="J213" s="3">
        <v>48</v>
      </c>
      <c r="K213" s="3">
        <v>38</v>
      </c>
      <c r="L213" s="3">
        <v>0</v>
      </c>
      <c r="M213" s="3">
        <v>2.33</v>
      </c>
      <c r="N213" s="3" t="s">
        <v>468</v>
      </c>
      <c r="O213" s="6"/>
    </row>
    <row r="214" spans="1:15" x14ac:dyDescent="0.25">
      <c r="A214" s="3" t="s">
        <v>13</v>
      </c>
      <c r="B214" s="3" t="s">
        <v>469</v>
      </c>
      <c r="C214" s="3" t="s">
        <v>35</v>
      </c>
      <c r="D214" s="3">
        <v>250</v>
      </c>
      <c r="E214" s="3">
        <v>2</v>
      </c>
      <c r="F214" s="3">
        <v>6270</v>
      </c>
      <c r="G214" s="3">
        <v>49</v>
      </c>
      <c r="H214" s="3">
        <v>0</v>
      </c>
      <c r="I214" s="3" t="s">
        <v>16</v>
      </c>
      <c r="J214" s="3">
        <v>48</v>
      </c>
      <c r="K214" s="3">
        <v>40</v>
      </c>
      <c r="L214" s="3">
        <v>0</v>
      </c>
      <c r="M214" s="3">
        <v>3.17</v>
      </c>
      <c r="N214" s="3" t="s">
        <v>470</v>
      </c>
      <c r="O214" s="6"/>
    </row>
    <row r="215" spans="1:15" x14ac:dyDescent="0.25">
      <c r="A215" s="3" t="s">
        <v>21</v>
      </c>
      <c r="B215" s="3" t="s">
        <v>471</v>
      </c>
      <c r="C215" s="3" t="s">
        <v>472</v>
      </c>
      <c r="D215" s="3">
        <v>250</v>
      </c>
      <c r="E215" s="3">
        <v>6</v>
      </c>
      <c r="F215" s="3">
        <v>6600</v>
      </c>
      <c r="G215" s="3">
        <v>50</v>
      </c>
      <c r="H215" s="3">
        <v>0</v>
      </c>
      <c r="I215" s="3" t="s">
        <v>16</v>
      </c>
      <c r="J215" s="3">
        <v>54</v>
      </c>
      <c r="K215" s="3">
        <v>42</v>
      </c>
      <c r="L215" s="3">
        <v>0</v>
      </c>
      <c r="M215" s="3">
        <v>1.79</v>
      </c>
      <c r="N215" s="3" t="s">
        <v>473</v>
      </c>
      <c r="O215" s="6"/>
    </row>
    <row r="216" spans="1:15" x14ac:dyDescent="0.25">
      <c r="A216" s="3" t="s">
        <v>46</v>
      </c>
      <c r="B216" s="3" t="s">
        <v>474</v>
      </c>
      <c r="C216" s="3" t="s">
        <v>192</v>
      </c>
      <c r="D216" s="3">
        <v>300</v>
      </c>
      <c r="E216" s="3">
        <v>2</v>
      </c>
      <c r="F216" s="3">
        <v>6270</v>
      </c>
      <c r="G216" s="3">
        <v>51</v>
      </c>
      <c r="H216" s="3">
        <v>0</v>
      </c>
      <c r="I216" s="3" t="s">
        <v>16</v>
      </c>
      <c r="J216" s="3">
        <v>48</v>
      </c>
      <c r="K216" s="3">
        <v>40</v>
      </c>
      <c r="L216" s="3">
        <v>0</v>
      </c>
      <c r="M216" s="3">
        <v>1.79</v>
      </c>
      <c r="N216" s="3" t="s">
        <v>475</v>
      </c>
      <c r="O216" s="6"/>
    </row>
    <row r="217" spans="1:15" x14ac:dyDescent="0.25">
      <c r="A217" s="3" t="s">
        <v>28</v>
      </c>
      <c r="B217" s="3" t="s">
        <v>476</v>
      </c>
      <c r="C217" s="3" t="s">
        <v>56</v>
      </c>
      <c r="D217" s="3">
        <v>300</v>
      </c>
      <c r="E217" s="3">
        <v>4</v>
      </c>
      <c r="F217" s="3">
        <v>6600</v>
      </c>
      <c r="G217" s="3">
        <v>50</v>
      </c>
      <c r="H217" s="3">
        <v>0</v>
      </c>
      <c r="I217" s="3" t="s">
        <v>16</v>
      </c>
      <c r="J217" s="3">
        <v>48</v>
      </c>
      <c r="K217" s="3">
        <v>36</v>
      </c>
      <c r="L217" s="3">
        <v>1.0601849999999999</v>
      </c>
      <c r="M217" s="3">
        <v>1.79</v>
      </c>
      <c r="N217" s="3" t="s">
        <v>477</v>
      </c>
      <c r="O217" s="6"/>
    </row>
    <row r="218" spans="1:15" x14ac:dyDescent="0.25">
      <c r="A218" s="3" t="s">
        <v>21</v>
      </c>
      <c r="B218" s="3" t="s">
        <v>478</v>
      </c>
      <c r="C218" s="3" t="s">
        <v>212</v>
      </c>
      <c r="D218" s="3">
        <v>300</v>
      </c>
      <c r="E218" s="3">
        <v>6</v>
      </c>
      <c r="F218" s="3">
        <v>6600</v>
      </c>
      <c r="G218" s="3">
        <v>50</v>
      </c>
      <c r="H218" s="3">
        <v>0</v>
      </c>
      <c r="I218" s="3" t="s">
        <v>16</v>
      </c>
      <c r="J218" s="3">
        <v>54</v>
      </c>
      <c r="K218" s="3">
        <v>40</v>
      </c>
      <c r="L218" s="3">
        <v>0</v>
      </c>
      <c r="M218" s="3">
        <v>1.79</v>
      </c>
      <c r="N218" s="3" t="s">
        <v>479</v>
      </c>
      <c r="O218" s="6"/>
    </row>
    <row r="219" spans="1:15" x14ac:dyDescent="0.25">
      <c r="A219" s="3" t="s">
        <v>13</v>
      </c>
      <c r="B219" s="3" t="s">
        <v>480</v>
      </c>
      <c r="C219" s="3" t="s">
        <v>56</v>
      </c>
      <c r="D219" s="3">
        <v>350</v>
      </c>
      <c r="E219" s="3">
        <v>4</v>
      </c>
      <c r="F219" s="3">
        <v>6600</v>
      </c>
      <c r="G219" s="3">
        <v>50</v>
      </c>
      <c r="H219" s="3">
        <v>0</v>
      </c>
      <c r="I219" s="3" t="s">
        <v>16</v>
      </c>
      <c r="J219" s="3">
        <v>48</v>
      </c>
      <c r="K219" s="3">
        <v>38</v>
      </c>
      <c r="L219" s="3">
        <v>0</v>
      </c>
      <c r="M219" s="3">
        <v>1.79</v>
      </c>
      <c r="N219" s="3" t="s">
        <v>481</v>
      </c>
      <c r="O219" s="6"/>
    </row>
    <row r="220" spans="1:15" x14ac:dyDescent="0.25">
      <c r="A220" s="3" t="s">
        <v>46</v>
      </c>
      <c r="B220" s="3" t="s">
        <v>482</v>
      </c>
      <c r="C220" s="3" t="s">
        <v>483</v>
      </c>
      <c r="D220" s="3">
        <v>380</v>
      </c>
      <c r="E220" s="3">
        <v>2</v>
      </c>
      <c r="F220" s="3">
        <v>6600</v>
      </c>
      <c r="G220" s="3">
        <v>50</v>
      </c>
      <c r="H220" s="3">
        <v>0</v>
      </c>
      <c r="I220" s="3" t="s">
        <v>16</v>
      </c>
      <c r="J220" s="3">
        <v>48</v>
      </c>
      <c r="K220" s="3">
        <v>40</v>
      </c>
      <c r="L220" s="3">
        <v>0</v>
      </c>
      <c r="M220" s="3">
        <v>1.79</v>
      </c>
      <c r="N220" s="3" t="s">
        <v>484</v>
      </c>
      <c r="O220" s="6"/>
    </row>
    <row r="221" spans="1:15" x14ac:dyDescent="0.25">
      <c r="A221" s="3" t="s">
        <v>13</v>
      </c>
      <c r="B221" s="3" t="s">
        <v>485</v>
      </c>
      <c r="C221" s="3" t="s">
        <v>92</v>
      </c>
      <c r="D221" s="3">
        <v>400</v>
      </c>
      <c r="E221" s="3">
        <v>2</v>
      </c>
      <c r="F221" s="3">
        <v>6600</v>
      </c>
      <c r="G221" s="3">
        <v>50</v>
      </c>
      <c r="H221" s="3">
        <v>0</v>
      </c>
      <c r="I221" s="3" t="s">
        <v>16</v>
      </c>
      <c r="J221" s="3">
        <v>48</v>
      </c>
      <c r="K221" s="3">
        <v>40</v>
      </c>
      <c r="L221" s="3">
        <v>0</v>
      </c>
      <c r="M221" s="3">
        <v>1.79</v>
      </c>
      <c r="N221" s="3" t="s">
        <v>486</v>
      </c>
      <c r="O221" s="6"/>
    </row>
    <row r="222" spans="1:15" x14ac:dyDescent="0.25">
      <c r="A222" s="3" t="s">
        <v>21</v>
      </c>
      <c r="B222" s="3" t="s">
        <v>487</v>
      </c>
      <c r="C222" s="3" t="s">
        <v>146</v>
      </c>
      <c r="D222" s="3">
        <v>400</v>
      </c>
      <c r="E222" s="3">
        <v>4</v>
      </c>
      <c r="F222" s="3">
        <v>6600</v>
      </c>
      <c r="G222" s="3">
        <v>50</v>
      </c>
      <c r="H222" s="3">
        <v>0</v>
      </c>
      <c r="I222" s="3" t="s">
        <v>16</v>
      </c>
      <c r="J222" s="3">
        <v>48</v>
      </c>
      <c r="K222" s="3">
        <v>38</v>
      </c>
      <c r="L222" s="3">
        <v>0</v>
      </c>
      <c r="M222" s="3">
        <v>1.79</v>
      </c>
      <c r="N222" s="3" t="s">
        <v>488</v>
      </c>
      <c r="O222" s="6"/>
    </row>
    <row r="223" spans="1:15" x14ac:dyDescent="0.25">
      <c r="A223" s="3" t="s">
        <v>46</v>
      </c>
      <c r="B223" s="3" t="s">
        <v>489</v>
      </c>
      <c r="C223" s="3" t="s">
        <v>80</v>
      </c>
      <c r="D223" s="3">
        <v>450</v>
      </c>
      <c r="E223" s="3">
        <v>2</v>
      </c>
      <c r="F223" s="3">
        <v>6600</v>
      </c>
      <c r="G223" s="3">
        <v>50</v>
      </c>
      <c r="H223" s="3">
        <v>0</v>
      </c>
      <c r="I223" s="3" t="s">
        <v>16</v>
      </c>
      <c r="J223" s="3">
        <v>48</v>
      </c>
      <c r="K223" s="3">
        <v>40</v>
      </c>
      <c r="L223" s="3">
        <v>0</v>
      </c>
      <c r="M223" s="3">
        <v>1.79</v>
      </c>
      <c r="N223" s="3" t="s">
        <v>490</v>
      </c>
      <c r="O223" s="6"/>
    </row>
    <row r="224" spans="1:15" x14ac:dyDescent="0.25">
      <c r="A224" s="3" t="s">
        <v>28</v>
      </c>
      <c r="B224" s="3" t="s">
        <v>491</v>
      </c>
      <c r="C224" s="3" t="s">
        <v>64</v>
      </c>
      <c r="D224" s="3">
        <v>600</v>
      </c>
      <c r="E224" s="3">
        <v>4</v>
      </c>
      <c r="F224" s="3">
        <v>6600</v>
      </c>
      <c r="G224" s="3">
        <v>50</v>
      </c>
      <c r="H224" s="3">
        <v>0</v>
      </c>
      <c r="I224" s="3" t="s">
        <v>16</v>
      </c>
      <c r="J224" s="3">
        <v>48</v>
      </c>
      <c r="K224" s="3">
        <v>38</v>
      </c>
      <c r="L224" s="3">
        <v>0</v>
      </c>
      <c r="M224" s="3">
        <v>1.79</v>
      </c>
      <c r="N224" s="3" t="s">
        <v>492</v>
      </c>
      <c r="O224" s="6"/>
    </row>
    <row r="225" spans="1:15" x14ac:dyDescent="0.25">
      <c r="A225" s="3" t="s">
        <v>46</v>
      </c>
      <c r="B225" s="3" t="s">
        <v>493</v>
      </c>
      <c r="C225" s="3" t="s">
        <v>47</v>
      </c>
      <c r="D225" s="3">
        <v>670</v>
      </c>
      <c r="E225" s="3">
        <v>2</v>
      </c>
      <c r="F225" s="3">
        <v>6600</v>
      </c>
      <c r="G225" s="3">
        <v>50</v>
      </c>
      <c r="H225" s="3">
        <v>0</v>
      </c>
      <c r="I225" s="3" t="s">
        <v>16</v>
      </c>
      <c r="J225" s="3">
        <v>48</v>
      </c>
      <c r="K225" s="3">
        <v>40</v>
      </c>
      <c r="L225" s="3">
        <v>0</v>
      </c>
      <c r="M225" s="3">
        <v>1.79</v>
      </c>
      <c r="N225" s="3" t="s">
        <v>494</v>
      </c>
      <c r="O225" s="6"/>
    </row>
    <row r="226" spans="1:15" x14ac:dyDescent="0.25">
      <c r="A226" s="3" t="s">
        <v>13</v>
      </c>
      <c r="B226" s="3" t="s">
        <v>495</v>
      </c>
      <c r="C226" s="3" t="s">
        <v>73</v>
      </c>
      <c r="D226" s="3">
        <v>710</v>
      </c>
      <c r="E226" s="3">
        <v>4</v>
      </c>
      <c r="F226" s="3">
        <v>6600</v>
      </c>
      <c r="G226" s="3">
        <v>50</v>
      </c>
      <c r="H226" s="3">
        <v>0</v>
      </c>
      <c r="I226" s="3" t="s">
        <v>16</v>
      </c>
      <c r="J226" s="3">
        <v>48</v>
      </c>
      <c r="K226" s="3">
        <v>38</v>
      </c>
      <c r="L226" s="3">
        <v>0</v>
      </c>
      <c r="M226" s="3">
        <v>1.79</v>
      </c>
      <c r="N226" s="3" t="s">
        <v>496</v>
      </c>
      <c r="O226" s="6"/>
    </row>
    <row r="227" spans="1:15" x14ac:dyDescent="0.25">
      <c r="A227" s="3" t="s">
        <v>13</v>
      </c>
      <c r="B227" s="3" t="s">
        <v>497</v>
      </c>
      <c r="C227" s="3" t="s">
        <v>404</v>
      </c>
      <c r="D227" s="3">
        <v>400</v>
      </c>
      <c r="E227" s="3">
        <v>2</v>
      </c>
      <c r="F227" s="3">
        <v>11000</v>
      </c>
      <c r="G227" s="3">
        <v>50</v>
      </c>
      <c r="H227" s="3">
        <v>0</v>
      </c>
      <c r="I227" s="3" t="s">
        <v>16</v>
      </c>
      <c r="J227" s="3">
        <v>48</v>
      </c>
      <c r="K227" s="3">
        <v>40</v>
      </c>
      <c r="L227" s="3">
        <v>0</v>
      </c>
      <c r="M227" s="3">
        <v>1.79</v>
      </c>
      <c r="N227" s="3" t="s">
        <v>498</v>
      </c>
      <c r="O227" s="6"/>
    </row>
    <row r="228" spans="1:15" x14ac:dyDescent="0.25">
      <c r="A228" s="3" t="s">
        <v>13</v>
      </c>
      <c r="B228" s="3" t="s">
        <v>499</v>
      </c>
      <c r="C228" s="3" t="s">
        <v>500</v>
      </c>
      <c r="D228" s="3">
        <v>629</v>
      </c>
      <c r="E228" s="3">
        <v>4</v>
      </c>
      <c r="F228" s="3">
        <v>525</v>
      </c>
      <c r="G228" s="3">
        <v>50</v>
      </c>
      <c r="H228" s="3">
        <v>1</v>
      </c>
      <c r="I228" s="3" t="s">
        <v>16</v>
      </c>
      <c r="J228" s="3">
        <v>48</v>
      </c>
      <c r="K228" s="3">
        <v>38</v>
      </c>
      <c r="L228" s="3">
        <v>0</v>
      </c>
      <c r="M228" s="3">
        <v>1.79</v>
      </c>
      <c r="N228" s="3" t="s">
        <v>501</v>
      </c>
      <c r="O228" s="6"/>
    </row>
    <row r="229" spans="1:15" x14ac:dyDescent="0.25">
      <c r="A229" s="3" t="s">
        <v>13</v>
      </c>
      <c r="B229" s="3" t="s">
        <v>502</v>
      </c>
      <c r="C229" s="3" t="s">
        <v>146</v>
      </c>
      <c r="D229" s="3">
        <v>500</v>
      </c>
      <c r="E229" s="3">
        <v>4</v>
      </c>
      <c r="F229" s="3">
        <v>525</v>
      </c>
      <c r="G229" s="3">
        <v>50</v>
      </c>
      <c r="H229" s="3">
        <v>1</v>
      </c>
      <c r="I229" s="3" t="s">
        <v>16</v>
      </c>
      <c r="J229" s="3">
        <v>48</v>
      </c>
      <c r="K229" s="3">
        <v>38</v>
      </c>
      <c r="L229" s="3">
        <v>0</v>
      </c>
      <c r="M229" s="3">
        <v>1.79</v>
      </c>
      <c r="N229" s="3" t="s">
        <v>503</v>
      </c>
      <c r="O229" s="6"/>
    </row>
    <row r="230" spans="1:15" x14ac:dyDescent="0.25">
      <c r="A230" s="3" t="s">
        <v>13</v>
      </c>
      <c r="B230" s="3" t="s">
        <v>504</v>
      </c>
      <c r="C230" s="3" t="s">
        <v>212</v>
      </c>
      <c r="D230" s="3">
        <v>358</v>
      </c>
      <c r="E230" s="3">
        <v>6</v>
      </c>
      <c r="F230" s="3">
        <v>3300</v>
      </c>
      <c r="G230" s="3">
        <v>50</v>
      </c>
      <c r="H230" s="3">
        <v>0</v>
      </c>
      <c r="I230" s="3" t="s">
        <v>16</v>
      </c>
      <c r="J230" s="3">
        <v>54</v>
      </c>
      <c r="K230" s="3">
        <v>40</v>
      </c>
      <c r="L230" s="3">
        <v>0</v>
      </c>
      <c r="M230" s="3">
        <v>1.79</v>
      </c>
      <c r="N230" s="3" t="s">
        <v>505</v>
      </c>
      <c r="O230" s="6"/>
    </row>
    <row r="231" spans="1:15" x14ac:dyDescent="0.25">
      <c r="A231" s="3" t="s">
        <v>13</v>
      </c>
      <c r="B231" s="3" t="s">
        <v>506</v>
      </c>
      <c r="C231" s="3" t="s">
        <v>61</v>
      </c>
      <c r="D231" s="3">
        <v>500</v>
      </c>
      <c r="E231" s="3">
        <v>6</v>
      </c>
      <c r="F231" s="3">
        <v>3300</v>
      </c>
      <c r="G231" s="3">
        <v>50</v>
      </c>
      <c r="H231" s="3">
        <v>0</v>
      </c>
      <c r="I231" s="3" t="s">
        <v>16</v>
      </c>
      <c r="J231" s="3">
        <v>54</v>
      </c>
      <c r="K231" s="3">
        <v>40</v>
      </c>
      <c r="L231" s="3">
        <v>0</v>
      </c>
      <c r="M231" s="3">
        <v>1.79</v>
      </c>
      <c r="N231" s="3" t="s">
        <v>507</v>
      </c>
      <c r="O231" s="6"/>
    </row>
    <row r="232" spans="1:15" x14ac:dyDescent="0.25">
      <c r="A232" s="3" t="s">
        <v>13</v>
      </c>
      <c r="B232" s="3" t="s">
        <v>508</v>
      </c>
      <c r="C232" s="3" t="s">
        <v>124</v>
      </c>
      <c r="D232" s="3">
        <v>800</v>
      </c>
      <c r="E232" s="3">
        <v>10</v>
      </c>
      <c r="F232" s="3">
        <v>3300</v>
      </c>
      <c r="G232" s="3">
        <v>50</v>
      </c>
      <c r="H232" s="3">
        <v>1</v>
      </c>
      <c r="I232" s="3" t="s">
        <v>16</v>
      </c>
      <c r="J232" s="3">
        <v>90</v>
      </c>
      <c r="K232" s="3">
        <v>74</v>
      </c>
      <c r="L232" s="3">
        <v>0</v>
      </c>
      <c r="M232" s="3">
        <v>1.79</v>
      </c>
      <c r="N232" s="3" t="s">
        <v>509</v>
      </c>
      <c r="O232" s="6"/>
    </row>
    <row r="233" spans="1:15" x14ac:dyDescent="0.25">
      <c r="A233" s="3" t="s">
        <v>13</v>
      </c>
      <c r="B233" s="3" t="s">
        <v>510</v>
      </c>
      <c r="C233" s="3" t="s">
        <v>124</v>
      </c>
      <c r="D233" s="3">
        <v>550</v>
      </c>
      <c r="E233" s="3">
        <v>10</v>
      </c>
      <c r="F233" s="3">
        <v>11000</v>
      </c>
      <c r="G233" s="3">
        <v>50</v>
      </c>
      <c r="H233" s="3">
        <v>1</v>
      </c>
      <c r="I233" s="3" t="s">
        <v>16</v>
      </c>
      <c r="J233" s="3">
        <v>90</v>
      </c>
      <c r="K233" s="3">
        <v>74</v>
      </c>
      <c r="L233" s="3">
        <v>0</v>
      </c>
      <c r="M233" s="3">
        <v>1.79</v>
      </c>
      <c r="N233" s="3" t="s">
        <v>511</v>
      </c>
      <c r="O233" s="6"/>
    </row>
    <row r="234" spans="1:15" x14ac:dyDescent="0.25">
      <c r="A234" s="3" t="s">
        <v>13</v>
      </c>
      <c r="B234" s="3" t="s">
        <v>512</v>
      </c>
      <c r="C234" s="3" t="s">
        <v>513</v>
      </c>
      <c r="D234" s="3">
        <v>800</v>
      </c>
      <c r="E234" s="3">
        <v>10</v>
      </c>
      <c r="F234" s="3">
        <v>11000</v>
      </c>
      <c r="G234" s="3">
        <v>50</v>
      </c>
      <c r="H234" s="3">
        <v>1</v>
      </c>
      <c r="I234" s="3" t="s">
        <v>16</v>
      </c>
      <c r="J234" s="3">
        <v>90</v>
      </c>
      <c r="K234" s="3">
        <v>74</v>
      </c>
      <c r="L234" s="3">
        <v>0</v>
      </c>
      <c r="M234" s="3">
        <v>1.79</v>
      </c>
      <c r="N234" s="3" t="s">
        <v>514</v>
      </c>
      <c r="O234" s="6"/>
    </row>
    <row r="235" spans="1:15" x14ac:dyDescent="0.25">
      <c r="A235" s="3" t="s">
        <v>13</v>
      </c>
      <c r="B235" s="3" t="s">
        <v>515</v>
      </c>
      <c r="C235" s="3" t="s">
        <v>124</v>
      </c>
      <c r="D235" s="3">
        <v>700</v>
      </c>
      <c r="E235" s="3">
        <v>10</v>
      </c>
      <c r="F235" s="3">
        <v>6600</v>
      </c>
      <c r="G235" s="3">
        <v>50</v>
      </c>
      <c r="H235" s="3">
        <v>0</v>
      </c>
      <c r="I235" s="3" t="s">
        <v>16</v>
      </c>
      <c r="J235" s="3">
        <v>90</v>
      </c>
      <c r="K235" s="3">
        <v>74</v>
      </c>
      <c r="L235" s="3">
        <v>0</v>
      </c>
      <c r="M235" s="3">
        <v>1.79</v>
      </c>
      <c r="N235" s="3" t="s">
        <v>516</v>
      </c>
      <c r="O235" s="6"/>
    </row>
    <row r="236" spans="1:15" x14ac:dyDescent="0.25">
      <c r="A236" s="3" t="s">
        <v>13</v>
      </c>
      <c r="B236" s="3" t="s">
        <v>517</v>
      </c>
      <c r="C236" s="3" t="s">
        <v>124</v>
      </c>
      <c r="D236" s="3">
        <v>700</v>
      </c>
      <c r="E236" s="3">
        <v>10</v>
      </c>
      <c r="F236" s="3">
        <v>6600</v>
      </c>
      <c r="G236" s="3">
        <v>50</v>
      </c>
      <c r="H236" s="3">
        <v>0</v>
      </c>
      <c r="I236" s="3" t="s">
        <v>16</v>
      </c>
      <c r="J236" s="3">
        <v>90</v>
      </c>
      <c r="K236" s="3">
        <v>74</v>
      </c>
      <c r="L236" s="3">
        <v>0</v>
      </c>
      <c r="M236" s="3">
        <v>1.79</v>
      </c>
      <c r="N236" s="3" t="s">
        <v>518</v>
      </c>
      <c r="O236" s="6"/>
    </row>
    <row r="237" spans="1:15" x14ac:dyDescent="0.25">
      <c r="A237" s="3" t="s">
        <v>13</v>
      </c>
      <c r="B237" s="3" t="s">
        <v>519</v>
      </c>
      <c r="C237" s="3" t="s">
        <v>15</v>
      </c>
      <c r="D237" s="3">
        <v>275</v>
      </c>
      <c r="E237" s="3">
        <v>8</v>
      </c>
      <c r="F237" s="3">
        <v>6600</v>
      </c>
      <c r="G237" s="3">
        <v>50</v>
      </c>
      <c r="H237" s="3">
        <v>0</v>
      </c>
      <c r="I237" s="3" t="s">
        <v>16</v>
      </c>
      <c r="J237" s="3">
        <v>72</v>
      </c>
      <c r="K237" s="3">
        <v>56</v>
      </c>
      <c r="L237" s="3">
        <v>0</v>
      </c>
      <c r="M237" s="3">
        <v>1.79</v>
      </c>
      <c r="N237" s="3" t="s">
        <v>520</v>
      </c>
      <c r="O237" s="6"/>
    </row>
    <row r="238" spans="1:15" x14ac:dyDescent="0.25">
      <c r="A238" s="3" t="s">
        <v>13</v>
      </c>
      <c r="B238" s="3" t="s">
        <v>521</v>
      </c>
      <c r="C238" s="3" t="s">
        <v>23</v>
      </c>
      <c r="D238" s="3">
        <v>225</v>
      </c>
      <c r="E238" s="3">
        <v>4</v>
      </c>
      <c r="F238" s="3">
        <v>3300</v>
      </c>
      <c r="G238" s="3">
        <v>50</v>
      </c>
      <c r="H238" s="3">
        <v>0</v>
      </c>
      <c r="I238" s="3" t="s">
        <v>16</v>
      </c>
      <c r="J238" s="3">
        <v>48</v>
      </c>
      <c r="K238" s="3">
        <v>38</v>
      </c>
      <c r="L238" s="3">
        <v>0</v>
      </c>
      <c r="M238" s="3">
        <v>1.79</v>
      </c>
      <c r="N238" s="3" t="s">
        <v>522</v>
      </c>
      <c r="O238" s="6"/>
    </row>
    <row r="239" spans="1:15" x14ac:dyDescent="0.25">
      <c r="A239" s="3" t="s">
        <v>13</v>
      </c>
      <c r="B239" s="3" t="s">
        <v>523</v>
      </c>
      <c r="C239" s="3" t="s">
        <v>23</v>
      </c>
      <c r="D239" s="3">
        <v>225</v>
      </c>
      <c r="E239" s="3">
        <v>4</v>
      </c>
      <c r="F239" s="3">
        <v>3300</v>
      </c>
      <c r="G239" s="3">
        <v>50</v>
      </c>
      <c r="H239" s="3">
        <v>0</v>
      </c>
      <c r="I239" s="3" t="s">
        <v>16</v>
      </c>
      <c r="J239" s="3">
        <v>48</v>
      </c>
      <c r="K239" s="3">
        <v>38</v>
      </c>
      <c r="L239" s="3">
        <v>0</v>
      </c>
      <c r="M239" s="3">
        <v>3.13</v>
      </c>
      <c r="N239" s="3" t="s">
        <v>524</v>
      </c>
      <c r="O239" s="6"/>
    </row>
    <row r="240" spans="1:15" x14ac:dyDescent="0.25">
      <c r="A240" s="3" t="s">
        <v>13</v>
      </c>
      <c r="B240" s="3" t="s">
        <v>525</v>
      </c>
      <c r="C240" s="3" t="s">
        <v>207</v>
      </c>
      <c r="D240" s="3">
        <v>225</v>
      </c>
      <c r="E240" s="3">
        <v>4</v>
      </c>
      <c r="F240" s="3">
        <v>3300</v>
      </c>
      <c r="G240" s="3">
        <v>50</v>
      </c>
      <c r="H240" s="3">
        <v>0</v>
      </c>
      <c r="I240" s="3" t="s">
        <v>215</v>
      </c>
      <c r="J240" s="3">
        <v>48</v>
      </c>
      <c r="K240" s="3">
        <v>38</v>
      </c>
      <c r="L240" s="3">
        <v>0</v>
      </c>
      <c r="M240" s="3">
        <v>1.79</v>
      </c>
      <c r="N240" s="3" t="s">
        <v>526</v>
      </c>
      <c r="O240" s="6"/>
    </row>
    <row r="241" spans="1:15" x14ac:dyDescent="0.25">
      <c r="A241" s="3" t="s">
        <v>13</v>
      </c>
      <c r="B241" s="3" t="s">
        <v>527</v>
      </c>
      <c r="C241" s="3" t="s">
        <v>207</v>
      </c>
      <c r="D241" s="3">
        <v>225</v>
      </c>
      <c r="E241" s="3">
        <v>4</v>
      </c>
      <c r="F241" s="3">
        <v>3300</v>
      </c>
      <c r="G241" s="3">
        <v>50</v>
      </c>
      <c r="H241" s="3">
        <v>0</v>
      </c>
      <c r="I241" s="3" t="s">
        <v>215</v>
      </c>
      <c r="J241" s="3">
        <v>48</v>
      </c>
      <c r="K241" s="3">
        <v>38</v>
      </c>
      <c r="L241" s="3">
        <v>0</v>
      </c>
      <c r="M241" s="3">
        <v>1.79</v>
      </c>
      <c r="N241" s="3" t="s">
        <v>528</v>
      </c>
      <c r="O241" s="6"/>
    </row>
    <row r="242" spans="1:15" x14ac:dyDescent="0.25">
      <c r="A242" s="3" t="s">
        <v>13</v>
      </c>
      <c r="B242" s="3" t="s">
        <v>529</v>
      </c>
      <c r="C242" s="3" t="s">
        <v>56</v>
      </c>
      <c r="D242" s="3">
        <v>390</v>
      </c>
      <c r="E242" s="3">
        <v>4</v>
      </c>
      <c r="F242" s="3">
        <v>3300</v>
      </c>
      <c r="G242" s="3">
        <v>50</v>
      </c>
      <c r="H242" s="3">
        <v>0</v>
      </c>
      <c r="I242" s="3" t="s">
        <v>16</v>
      </c>
      <c r="J242" s="3">
        <v>48</v>
      </c>
      <c r="K242" s="3">
        <v>36</v>
      </c>
      <c r="L242" s="3">
        <v>1.06</v>
      </c>
      <c r="M242" s="3">
        <v>1.79</v>
      </c>
      <c r="N242" s="3" t="s">
        <v>530</v>
      </c>
      <c r="O242" s="6"/>
    </row>
    <row r="243" spans="1:15" x14ac:dyDescent="0.25">
      <c r="A243" s="3" t="s">
        <v>13</v>
      </c>
      <c r="B243" s="3" t="s">
        <v>531</v>
      </c>
      <c r="C243" s="3" t="s">
        <v>56</v>
      </c>
      <c r="D243" s="3">
        <v>310</v>
      </c>
      <c r="E243" s="3">
        <v>4</v>
      </c>
      <c r="F243" s="3">
        <v>6600</v>
      </c>
      <c r="G243" s="3">
        <v>50</v>
      </c>
      <c r="H243" s="3">
        <v>0</v>
      </c>
      <c r="I243" s="3" t="s">
        <v>16</v>
      </c>
      <c r="J243" s="3">
        <v>48</v>
      </c>
      <c r="K243" s="3">
        <v>38</v>
      </c>
      <c r="L243" s="3">
        <v>0</v>
      </c>
      <c r="M243" s="3">
        <v>1.79</v>
      </c>
      <c r="N243" s="3" t="s">
        <v>532</v>
      </c>
      <c r="O243" s="6"/>
    </row>
    <row r="244" spans="1:15" x14ac:dyDescent="0.25">
      <c r="A244" s="3" t="s">
        <v>13</v>
      </c>
      <c r="B244" s="3" t="s">
        <v>533</v>
      </c>
      <c r="C244" s="3" t="s">
        <v>38</v>
      </c>
      <c r="D244" s="3">
        <v>250</v>
      </c>
      <c r="E244" s="3">
        <v>6</v>
      </c>
      <c r="F244" s="3">
        <v>3300</v>
      </c>
      <c r="G244" s="3">
        <v>50</v>
      </c>
      <c r="H244" s="3">
        <v>0</v>
      </c>
      <c r="I244" s="3" t="s">
        <v>16</v>
      </c>
      <c r="J244" s="3">
        <v>54</v>
      </c>
      <c r="K244" s="3">
        <v>42</v>
      </c>
      <c r="L244" s="3">
        <v>0</v>
      </c>
      <c r="M244" s="3">
        <v>1.79</v>
      </c>
      <c r="N244" s="3" t="s">
        <v>534</v>
      </c>
      <c r="O244" s="6"/>
    </row>
    <row r="245" spans="1:15" x14ac:dyDescent="0.25">
      <c r="A245" s="3" t="s">
        <v>13</v>
      </c>
      <c r="B245" s="3" t="s">
        <v>535</v>
      </c>
      <c r="C245" s="3" t="s">
        <v>23</v>
      </c>
      <c r="D245" s="3">
        <v>250</v>
      </c>
      <c r="E245" s="3">
        <v>4</v>
      </c>
      <c r="F245" s="3">
        <v>3300</v>
      </c>
      <c r="G245" s="3">
        <v>50</v>
      </c>
      <c r="H245" s="3">
        <v>0</v>
      </c>
      <c r="I245" s="3" t="s">
        <v>215</v>
      </c>
      <c r="J245" s="3">
        <v>48</v>
      </c>
      <c r="K245" s="3">
        <v>38</v>
      </c>
      <c r="L245" s="3">
        <v>0</v>
      </c>
      <c r="M245" s="3">
        <v>1.79</v>
      </c>
      <c r="N245" s="3" t="s">
        <v>536</v>
      </c>
      <c r="O245" s="6"/>
    </row>
    <row r="246" spans="1:15" x14ac:dyDescent="0.25">
      <c r="A246" s="3" t="s">
        <v>13</v>
      </c>
      <c r="B246" s="3" t="s">
        <v>537</v>
      </c>
      <c r="C246" s="3" t="s">
        <v>26</v>
      </c>
      <c r="D246" s="3">
        <v>180</v>
      </c>
      <c r="E246" s="3">
        <v>2</v>
      </c>
      <c r="F246" s="3">
        <v>690</v>
      </c>
      <c r="G246" s="3">
        <v>50</v>
      </c>
      <c r="H246" s="3">
        <v>0</v>
      </c>
      <c r="I246" s="3" t="s">
        <v>16</v>
      </c>
      <c r="J246" s="3">
        <v>48</v>
      </c>
      <c r="K246" s="3">
        <v>40</v>
      </c>
      <c r="L246" s="3">
        <v>0</v>
      </c>
      <c r="M246" s="3">
        <v>1.79</v>
      </c>
      <c r="N246" s="3" t="s">
        <v>538</v>
      </c>
      <c r="O246" s="6"/>
    </row>
    <row r="247" spans="1:15" x14ac:dyDescent="0.25">
      <c r="A247" s="3" t="s">
        <v>13</v>
      </c>
      <c r="B247" s="3" t="s">
        <v>539</v>
      </c>
      <c r="C247" s="3" t="s">
        <v>212</v>
      </c>
      <c r="D247" s="3">
        <v>330</v>
      </c>
      <c r="E247" s="3">
        <v>6</v>
      </c>
      <c r="F247" s="3">
        <v>6600</v>
      </c>
      <c r="G247" s="3">
        <v>50</v>
      </c>
      <c r="H247" s="3">
        <v>0</v>
      </c>
      <c r="I247" s="3" t="s">
        <v>16</v>
      </c>
      <c r="J247" s="3">
        <v>54</v>
      </c>
      <c r="K247" s="3">
        <v>40</v>
      </c>
      <c r="L247" s="3">
        <v>0</v>
      </c>
      <c r="M247" s="3">
        <v>1.79</v>
      </c>
      <c r="N247" s="3" t="s">
        <v>540</v>
      </c>
      <c r="O247" s="6"/>
    </row>
    <row r="248" spans="1:15" x14ac:dyDescent="0.25">
      <c r="A248" s="3" t="s">
        <v>13</v>
      </c>
      <c r="B248" s="3" t="s">
        <v>541</v>
      </c>
      <c r="C248" s="3" t="s">
        <v>64</v>
      </c>
      <c r="D248" s="3">
        <v>575</v>
      </c>
      <c r="E248" s="3">
        <v>6</v>
      </c>
      <c r="F248" s="3">
        <v>3300</v>
      </c>
      <c r="G248" s="3">
        <v>50</v>
      </c>
      <c r="H248" s="3">
        <v>0</v>
      </c>
      <c r="I248" s="3" t="s">
        <v>16</v>
      </c>
      <c r="J248" s="3">
        <v>54</v>
      </c>
      <c r="K248" s="3">
        <v>42</v>
      </c>
      <c r="L248" s="3">
        <v>1.26</v>
      </c>
      <c r="M248" s="3">
        <v>1.79</v>
      </c>
      <c r="N248" s="3" t="s">
        <v>542</v>
      </c>
      <c r="O248" s="6"/>
    </row>
    <row r="249" spans="1:15" x14ac:dyDescent="0.25">
      <c r="A249" s="3" t="s">
        <v>13</v>
      </c>
      <c r="B249" s="3" t="s">
        <v>543</v>
      </c>
      <c r="C249" s="3" t="s">
        <v>110</v>
      </c>
      <c r="D249" s="3">
        <v>160</v>
      </c>
      <c r="E249" s="3">
        <v>4</v>
      </c>
      <c r="F249" s="3">
        <v>3000</v>
      </c>
      <c r="G249" s="3">
        <v>50</v>
      </c>
      <c r="H249" s="3">
        <v>0</v>
      </c>
      <c r="I249" s="3" t="s">
        <v>16</v>
      </c>
      <c r="J249" s="3">
        <v>48</v>
      </c>
      <c r="K249" s="3">
        <v>38</v>
      </c>
      <c r="L249" s="3">
        <v>0</v>
      </c>
      <c r="M249" s="3">
        <v>1.79</v>
      </c>
      <c r="N249" s="3" t="s">
        <v>544</v>
      </c>
      <c r="O249" s="6"/>
    </row>
    <row r="250" spans="1:15" x14ac:dyDescent="0.25">
      <c r="A250" s="3" t="s">
        <v>13</v>
      </c>
      <c r="B250" s="3" t="s">
        <v>545</v>
      </c>
      <c r="C250" s="3" t="s">
        <v>404</v>
      </c>
      <c r="D250" s="3">
        <v>720</v>
      </c>
      <c r="E250" s="3">
        <v>2</v>
      </c>
      <c r="F250" s="3">
        <v>660</v>
      </c>
      <c r="G250" s="3">
        <v>50</v>
      </c>
      <c r="H250" s="3">
        <v>1</v>
      </c>
      <c r="I250" s="3" t="s">
        <v>16</v>
      </c>
      <c r="J250" s="3">
        <v>48</v>
      </c>
      <c r="K250" s="3">
        <v>40</v>
      </c>
      <c r="L250" s="3">
        <v>0</v>
      </c>
      <c r="M250" s="3">
        <v>1.79</v>
      </c>
      <c r="N250" s="3" t="s">
        <v>546</v>
      </c>
      <c r="O250" s="6"/>
    </row>
    <row r="251" spans="1:15" x14ac:dyDescent="0.25">
      <c r="A251" s="3" t="s">
        <v>13</v>
      </c>
      <c r="B251" s="3" t="s">
        <v>547</v>
      </c>
      <c r="C251" s="3" t="s">
        <v>404</v>
      </c>
      <c r="D251" s="3">
        <v>355</v>
      </c>
      <c r="E251" s="3">
        <v>2</v>
      </c>
      <c r="F251" s="3">
        <v>11000</v>
      </c>
      <c r="G251" s="3">
        <v>50</v>
      </c>
      <c r="H251" s="3">
        <v>0</v>
      </c>
      <c r="I251" s="3" t="s">
        <v>16</v>
      </c>
      <c r="J251" s="3">
        <v>48</v>
      </c>
      <c r="K251" s="3">
        <v>40</v>
      </c>
      <c r="L251" s="3">
        <v>0</v>
      </c>
      <c r="M251" s="3">
        <v>1.79</v>
      </c>
      <c r="N251" s="3" t="s">
        <v>548</v>
      </c>
      <c r="O251" s="6"/>
    </row>
    <row r="252" spans="1:15" x14ac:dyDescent="0.25">
      <c r="A252" s="3" t="s">
        <v>13</v>
      </c>
      <c r="B252" s="3" t="s">
        <v>549</v>
      </c>
      <c r="C252" s="3" t="s">
        <v>56</v>
      </c>
      <c r="D252" s="3">
        <v>350</v>
      </c>
      <c r="E252" s="3">
        <v>4</v>
      </c>
      <c r="F252" s="3">
        <v>3300</v>
      </c>
      <c r="G252" s="3">
        <v>50</v>
      </c>
      <c r="H252" s="3">
        <v>0</v>
      </c>
      <c r="I252" s="3" t="s">
        <v>16</v>
      </c>
      <c r="J252" s="3">
        <v>48</v>
      </c>
      <c r="K252" s="3">
        <v>38</v>
      </c>
      <c r="L252" s="3">
        <v>0</v>
      </c>
      <c r="M252" s="3">
        <v>1.79</v>
      </c>
      <c r="N252" s="3" t="s">
        <v>550</v>
      </c>
      <c r="O252" s="6"/>
    </row>
    <row r="253" spans="1:15" x14ac:dyDescent="0.25">
      <c r="A253" s="3" t="s">
        <v>13</v>
      </c>
      <c r="B253" s="3" t="s">
        <v>551</v>
      </c>
      <c r="C253" s="3" t="s">
        <v>404</v>
      </c>
      <c r="D253" s="3">
        <v>450</v>
      </c>
      <c r="E253" s="3">
        <v>2</v>
      </c>
      <c r="F253" s="3">
        <v>11000</v>
      </c>
      <c r="G253" s="3">
        <v>50</v>
      </c>
      <c r="H253" s="3">
        <v>0</v>
      </c>
      <c r="I253" s="3" t="s">
        <v>16</v>
      </c>
      <c r="J253" s="3">
        <v>48</v>
      </c>
      <c r="K253" s="3">
        <v>40</v>
      </c>
      <c r="L253" s="3">
        <v>0</v>
      </c>
      <c r="M253" s="3">
        <v>1.79</v>
      </c>
      <c r="N253" s="3" t="s">
        <v>552</v>
      </c>
      <c r="O253" s="6"/>
    </row>
    <row r="254" spans="1:15" x14ac:dyDescent="0.25">
      <c r="A254" s="3" t="s">
        <v>13</v>
      </c>
      <c r="B254" s="3" t="s">
        <v>553</v>
      </c>
      <c r="C254" s="3" t="s">
        <v>554</v>
      </c>
      <c r="D254" s="3">
        <v>450</v>
      </c>
      <c r="E254" s="3">
        <v>2</v>
      </c>
      <c r="F254" s="3">
        <v>11000</v>
      </c>
      <c r="G254" s="3">
        <v>50</v>
      </c>
      <c r="H254" s="3">
        <v>0</v>
      </c>
      <c r="I254" s="3" t="s">
        <v>16</v>
      </c>
      <c r="J254" s="3">
        <v>48</v>
      </c>
      <c r="K254" s="3">
        <v>40</v>
      </c>
      <c r="L254" s="3">
        <v>0</v>
      </c>
      <c r="M254" s="3">
        <v>1.79</v>
      </c>
      <c r="N254" s="3" t="s">
        <v>555</v>
      </c>
      <c r="O254" s="6"/>
    </row>
    <row r="255" spans="1:15" x14ac:dyDescent="0.25">
      <c r="A255" s="3" t="s">
        <v>13</v>
      </c>
      <c r="B255" s="3" t="s">
        <v>556</v>
      </c>
      <c r="C255" s="3" t="s">
        <v>15</v>
      </c>
      <c r="D255" s="3">
        <v>500</v>
      </c>
      <c r="E255" s="3">
        <v>4</v>
      </c>
      <c r="F255" s="3">
        <v>6600</v>
      </c>
      <c r="G255" s="3">
        <v>50</v>
      </c>
      <c r="H255" s="3">
        <v>0</v>
      </c>
      <c r="I255" s="3" t="s">
        <v>16</v>
      </c>
      <c r="J255" s="3">
        <v>48</v>
      </c>
      <c r="K255" s="3">
        <v>36</v>
      </c>
      <c r="L255" s="3">
        <v>1.3169999999999999</v>
      </c>
      <c r="M255" s="3">
        <v>1.79</v>
      </c>
      <c r="N255" s="3" t="s">
        <v>557</v>
      </c>
      <c r="O255" s="6"/>
    </row>
    <row r="256" spans="1:15" x14ac:dyDescent="0.25">
      <c r="A256" s="3" t="s">
        <v>13</v>
      </c>
      <c r="B256" s="3" t="s">
        <v>558</v>
      </c>
      <c r="C256" s="3" t="s">
        <v>64</v>
      </c>
      <c r="D256" s="3">
        <v>575</v>
      </c>
      <c r="E256" s="3">
        <v>4</v>
      </c>
      <c r="F256" s="3">
        <v>3300</v>
      </c>
      <c r="G256" s="3">
        <v>50</v>
      </c>
      <c r="H256" s="3">
        <v>0</v>
      </c>
      <c r="I256" s="3" t="s">
        <v>16</v>
      </c>
      <c r="J256" s="3">
        <v>48</v>
      </c>
      <c r="K256" s="3">
        <v>38</v>
      </c>
      <c r="L256" s="3">
        <v>0</v>
      </c>
      <c r="M256" s="3">
        <v>1.79</v>
      </c>
      <c r="N256" s="3" t="s">
        <v>559</v>
      </c>
      <c r="O256" s="6"/>
    </row>
    <row r="257" spans="1:15" x14ac:dyDescent="0.25">
      <c r="A257" s="3" t="s">
        <v>13</v>
      </c>
      <c r="B257" s="3" t="s">
        <v>160</v>
      </c>
      <c r="C257" s="3" t="s">
        <v>30</v>
      </c>
      <c r="D257" s="3">
        <v>250</v>
      </c>
      <c r="E257" s="3">
        <v>4</v>
      </c>
      <c r="F257" s="3">
        <v>6600</v>
      </c>
      <c r="G257" s="3">
        <v>50</v>
      </c>
      <c r="H257" s="3">
        <v>0</v>
      </c>
      <c r="I257" s="3" t="s">
        <v>16</v>
      </c>
      <c r="J257" s="3">
        <v>48</v>
      </c>
      <c r="K257" s="3">
        <v>38</v>
      </c>
      <c r="L257" s="3">
        <v>0</v>
      </c>
      <c r="M257" s="3">
        <v>1.79</v>
      </c>
      <c r="N257" s="3" t="s">
        <v>560</v>
      </c>
      <c r="O257" s="6"/>
    </row>
    <row r="258" spans="1:15" x14ac:dyDescent="0.25">
      <c r="A258" s="3" t="s">
        <v>13</v>
      </c>
      <c r="B258" s="3" t="s">
        <v>160</v>
      </c>
      <c r="C258" s="3" t="s">
        <v>30</v>
      </c>
      <c r="D258" s="3">
        <v>250</v>
      </c>
      <c r="E258" s="3">
        <v>4</v>
      </c>
      <c r="F258" s="3">
        <v>6600</v>
      </c>
      <c r="G258" s="3">
        <v>50</v>
      </c>
      <c r="H258" s="3">
        <v>0</v>
      </c>
      <c r="I258" s="3" t="s">
        <v>16</v>
      </c>
      <c r="J258" s="3">
        <v>48</v>
      </c>
      <c r="K258" s="3">
        <v>38</v>
      </c>
      <c r="L258" s="3">
        <v>0</v>
      </c>
      <c r="M258" s="3">
        <v>2.33</v>
      </c>
      <c r="N258" s="3" t="s">
        <v>561</v>
      </c>
      <c r="O258" s="6"/>
    </row>
    <row r="259" spans="1:15" x14ac:dyDescent="0.25">
      <c r="A259" s="3" t="s">
        <v>13</v>
      </c>
      <c r="B259" s="3" t="s">
        <v>562</v>
      </c>
      <c r="C259" s="3" t="s">
        <v>360</v>
      </c>
      <c r="D259" s="3">
        <v>1410</v>
      </c>
      <c r="E259" s="3">
        <v>4</v>
      </c>
      <c r="F259" s="3">
        <v>4000</v>
      </c>
      <c r="G259" s="3">
        <v>60</v>
      </c>
      <c r="H259" s="3">
        <v>0</v>
      </c>
      <c r="I259" s="3" t="s">
        <v>16</v>
      </c>
      <c r="J259" s="3">
        <v>48</v>
      </c>
      <c r="K259" s="3">
        <v>38</v>
      </c>
      <c r="L259" s="3">
        <v>0</v>
      </c>
      <c r="M259" s="3">
        <v>1.79</v>
      </c>
      <c r="N259" s="3" t="s">
        <v>563</v>
      </c>
      <c r="O259" s="6"/>
    </row>
    <row r="260" spans="1:15" x14ac:dyDescent="0.25">
      <c r="A260" s="3" t="s">
        <v>13</v>
      </c>
      <c r="B260" s="3" t="s">
        <v>564</v>
      </c>
      <c r="C260" s="3" t="s">
        <v>360</v>
      </c>
      <c r="D260" s="3">
        <v>1410</v>
      </c>
      <c r="E260" s="3">
        <v>4</v>
      </c>
      <c r="F260" s="3">
        <v>4000</v>
      </c>
      <c r="G260" s="3">
        <v>60</v>
      </c>
      <c r="H260" s="3">
        <v>0</v>
      </c>
      <c r="I260" s="3" t="s">
        <v>16</v>
      </c>
      <c r="J260" s="3">
        <v>48</v>
      </c>
      <c r="K260" s="3">
        <v>38</v>
      </c>
      <c r="L260" s="3">
        <v>0</v>
      </c>
      <c r="M260" s="3">
        <v>1.79</v>
      </c>
      <c r="N260" s="3" t="s">
        <v>565</v>
      </c>
      <c r="O260" s="6"/>
    </row>
    <row r="261" spans="1:15" x14ac:dyDescent="0.25">
      <c r="A261" s="3" t="s">
        <v>13</v>
      </c>
      <c r="B261" s="3" t="s">
        <v>566</v>
      </c>
      <c r="C261" s="3" t="s">
        <v>61</v>
      </c>
      <c r="D261" s="3">
        <v>553</v>
      </c>
      <c r="E261" s="3">
        <v>4</v>
      </c>
      <c r="F261" s="3">
        <v>6000</v>
      </c>
      <c r="G261" s="3">
        <v>50</v>
      </c>
      <c r="H261" s="3">
        <v>0</v>
      </c>
      <c r="I261" s="3" t="s">
        <v>16</v>
      </c>
      <c r="J261" s="3">
        <v>48</v>
      </c>
      <c r="K261" s="3">
        <v>38</v>
      </c>
      <c r="L261" s="3">
        <v>0</v>
      </c>
      <c r="M261" s="3">
        <v>1.79</v>
      </c>
      <c r="N261" s="3" t="s">
        <v>567</v>
      </c>
      <c r="O261" s="6"/>
    </row>
    <row r="262" spans="1:15" x14ac:dyDescent="0.25">
      <c r="A262" s="3" t="s">
        <v>13</v>
      </c>
      <c r="B262" s="3" t="s">
        <v>568</v>
      </c>
      <c r="C262" s="3" t="s">
        <v>64</v>
      </c>
      <c r="D262" s="3">
        <v>553</v>
      </c>
      <c r="E262" s="3">
        <v>4</v>
      </c>
      <c r="F262" s="3">
        <v>6000</v>
      </c>
      <c r="G262" s="3">
        <v>50</v>
      </c>
      <c r="H262" s="3">
        <v>0</v>
      </c>
      <c r="I262" s="3" t="s">
        <v>16</v>
      </c>
      <c r="J262" s="3">
        <v>48</v>
      </c>
      <c r="K262" s="3">
        <v>38</v>
      </c>
      <c r="L262" s="3">
        <v>0</v>
      </c>
      <c r="M262" s="3">
        <v>1.79</v>
      </c>
      <c r="N262" s="3" t="s">
        <v>569</v>
      </c>
      <c r="O262" s="6"/>
    </row>
    <row r="263" spans="1:15" x14ac:dyDescent="0.25">
      <c r="A263" s="3" t="s">
        <v>13</v>
      </c>
      <c r="B263" s="3" t="s">
        <v>570</v>
      </c>
      <c r="C263" s="3" t="s">
        <v>136</v>
      </c>
      <c r="D263" s="3">
        <v>1120</v>
      </c>
      <c r="E263" s="3">
        <v>4</v>
      </c>
      <c r="F263" s="3">
        <v>4160</v>
      </c>
      <c r="G263" s="3">
        <v>60</v>
      </c>
      <c r="H263" s="3">
        <v>1</v>
      </c>
      <c r="I263" s="3" t="s">
        <v>16</v>
      </c>
      <c r="J263" s="3">
        <v>48</v>
      </c>
      <c r="K263" s="3">
        <v>38</v>
      </c>
      <c r="L263" s="3">
        <v>0</v>
      </c>
      <c r="M263" s="3">
        <v>1.79</v>
      </c>
      <c r="N263" s="3" t="s">
        <v>571</v>
      </c>
      <c r="O263" s="6"/>
    </row>
    <row r="264" spans="1:15" x14ac:dyDescent="0.25">
      <c r="A264" s="3" t="s">
        <v>13</v>
      </c>
      <c r="B264" s="3" t="s">
        <v>572</v>
      </c>
      <c r="C264" s="3" t="s">
        <v>56</v>
      </c>
      <c r="D264" s="3">
        <v>375</v>
      </c>
      <c r="E264" s="3">
        <v>4</v>
      </c>
      <c r="F264" s="3">
        <v>4160</v>
      </c>
      <c r="G264" s="3">
        <v>60</v>
      </c>
      <c r="H264" s="3">
        <v>0</v>
      </c>
      <c r="I264" s="3" t="s">
        <v>16</v>
      </c>
      <c r="J264" s="3">
        <v>48</v>
      </c>
      <c r="K264" s="3">
        <v>38</v>
      </c>
      <c r="L264" s="3">
        <v>0</v>
      </c>
      <c r="M264" s="3">
        <v>1.79</v>
      </c>
      <c r="N264" s="3" t="s">
        <v>573</v>
      </c>
      <c r="O264" s="6"/>
    </row>
    <row r="265" spans="1:15" x14ac:dyDescent="0.25">
      <c r="A265" s="3" t="s">
        <v>13</v>
      </c>
      <c r="B265" s="3" t="s">
        <v>574</v>
      </c>
      <c r="C265" s="3" t="s">
        <v>73</v>
      </c>
      <c r="D265" s="3">
        <v>520</v>
      </c>
      <c r="E265" s="3">
        <v>4</v>
      </c>
      <c r="F265" s="3">
        <v>6000</v>
      </c>
      <c r="G265" s="3">
        <v>50</v>
      </c>
      <c r="H265" s="3">
        <v>0</v>
      </c>
      <c r="I265" s="3" t="s">
        <v>16</v>
      </c>
      <c r="J265" s="3">
        <v>48</v>
      </c>
      <c r="K265" s="3">
        <v>38</v>
      </c>
      <c r="L265" s="3">
        <v>0</v>
      </c>
      <c r="M265" s="3">
        <v>1.79</v>
      </c>
      <c r="N265" s="3" t="s">
        <v>575</v>
      </c>
      <c r="O265" s="6"/>
    </row>
    <row r="266" spans="1:15" x14ac:dyDescent="0.25">
      <c r="A266" s="3" t="s">
        <v>13</v>
      </c>
      <c r="B266" s="3" t="s">
        <v>574</v>
      </c>
      <c r="C266" s="3" t="s">
        <v>89</v>
      </c>
      <c r="D266" s="3">
        <v>520</v>
      </c>
      <c r="E266" s="3">
        <v>4</v>
      </c>
      <c r="F266" s="3">
        <v>6000</v>
      </c>
      <c r="G266" s="3">
        <v>50</v>
      </c>
      <c r="H266" s="3">
        <v>0</v>
      </c>
      <c r="I266" s="3" t="s">
        <v>16</v>
      </c>
      <c r="J266" s="3">
        <v>48</v>
      </c>
      <c r="K266" s="3">
        <v>38</v>
      </c>
      <c r="L266" s="3">
        <v>0</v>
      </c>
      <c r="M266" s="3">
        <v>2.33</v>
      </c>
      <c r="N266" s="3" t="s">
        <v>576</v>
      </c>
      <c r="O266" s="6"/>
    </row>
    <row r="267" spans="1:15" x14ac:dyDescent="0.25">
      <c r="A267" s="3" t="s">
        <v>13</v>
      </c>
      <c r="B267" s="3" t="s">
        <v>574</v>
      </c>
      <c r="C267" s="3" t="s">
        <v>73</v>
      </c>
      <c r="D267" s="3">
        <v>520</v>
      </c>
      <c r="E267" s="3">
        <v>4</v>
      </c>
      <c r="F267" s="3">
        <v>6000</v>
      </c>
      <c r="G267" s="3">
        <v>50</v>
      </c>
      <c r="H267" s="3">
        <v>0</v>
      </c>
      <c r="I267" s="3" t="s">
        <v>16</v>
      </c>
      <c r="J267" s="3">
        <v>48</v>
      </c>
      <c r="K267" s="3">
        <v>38</v>
      </c>
      <c r="L267" s="3">
        <v>0</v>
      </c>
      <c r="M267" s="3">
        <v>1.79</v>
      </c>
      <c r="N267" s="3" t="s">
        <v>577</v>
      </c>
      <c r="O267" s="6"/>
    </row>
    <row r="268" spans="1:15" x14ac:dyDescent="0.25">
      <c r="A268" s="3" t="s">
        <v>13</v>
      </c>
      <c r="B268" s="3" t="s">
        <v>578</v>
      </c>
      <c r="C268" s="3" t="s">
        <v>89</v>
      </c>
      <c r="D268" s="3">
        <v>520</v>
      </c>
      <c r="E268" s="3">
        <v>4</v>
      </c>
      <c r="F268" s="3">
        <v>6000</v>
      </c>
      <c r="G268" s="3">
        <v>50</v>
      </c>
      <c r="H268" s="3">
        <v>0</v>
      </c>
      <c r="I268" s="3" t="s">
        <v>16</v>
      </c>
      <c r="J268" s="3">
        <v>48</v>
      </c>
      <c r="K268" s="3">
        <v>38</v>
      </c>
      <c r="L268" s="3">
        <v>0</v>
      </c>
      <c r="M268" s="3">
        <v>1.79</v>
      </c>
      <c r="N268" s="3" t="s">
        <v>579</v>
      </c>
      <c r="O268" s="6"/>
    </row>
    <row r="269" spans="1:15" x14ac:dyDescent="0.25">
      <c r="A269" s="3" t="s">
        <v>13</v>
      </c>
      <c r="B269" s="3" t="s">
        <v>580</v>
      </c>
      <c r="C269" s="3" t="s">
        <v>212</v>
      </c>
      <c r="D269" s="3">
        <v>315</v>
      </c>
      <c r="E269" s="3">
        <v>6</v>
      </c>
      <c r="F269" s="3">
        <v>6600</v>
      </c>
      <c r="G269" s="3">
        <v>50</v>
      </c>
      <c r="H269" s="3">
        <v>0</v>
      </c>
      <c r="I269" s="3" t="s">
        <v>16</v>
      </c>
      <c r="J269" s="3">
        <v>54</v>
      </c>
      <c r="K269" s="3">
        <v>40</v>
      </c>
      <c r="L269" s="3">
        <v>0</v>
      </c>
      <c r="M269" s="3">
        <v>1.79</v>
      </c>
      <c r="N269" s="3" t="s">
        <v>581</v>
      </c>
      <c r="O269" s="6"/>
    </row>
    <row r="270" spans="1:15" x14ac:dyDescent="0.25">
      <c r="A270" s="3" t="s">
        <v>13</v>
      </c>
      <c r="B270" s="3" t="s">
        <v>582</v>
      </c>
      <c r="C270" s="3" t="s">
        <v>73</v>
      </c>
      <c r="D270" s="3">
        <v>750</v>
      </c>
      <c r="E270" s="3">
        <v>4</v>
      </c>
      <c r="F270" s="3">
        <v>660</v>
      </c>
      <c r="G270" s="3">
        <v>50</v>
      </c>
      <c r="H270" s="3">
        <v>1</v>
      </c>
      <c r="I270" s="3" t="s">
        <v>16</v>
      </c>
      <c r="J270" s="3">
        <v>48</v>
      </c>
      <c r="K270" s="3">
        <v>38</v>
      </c>
      <c r="L270" s="3">
        <v>0</v>
      </c>
      <c r="M270" s="3">
        <v>1.79</v>
      </c>
      <c r="N270" s="3" t="s">
        <v>583</v>
      </c>
      <c r="O270" s="6"/>
    </row>
    <row r="271" spans="1:15" x14ac:dyDescent="0.25">
      <c r="A271" s="3" t="s">
        <v>13</v>
      </c>
      <c r="B271" s="3" t="s">
        <v>584</v>
      </c>
      <c r="C271" s="3" t="s">
        <v>30</v>
      </c>
      <c r="D271" s="3">
        <v>300</v>
      </c>
      <c r="E271" s="3">
        <v>4</v>
      </c>
      <c r="F271" s="3">
        <v>3300</v>
      </c>
      <c r="G271" s="3">
        <v>50</v>
      </c>
      <c r="H271" s="3">
        <v>0</v>
      </c>
      <c r="I271" s="3" t="s">
        <v>215</v>
      </c>
      <c r="J271" s="3">
        <v>48</v>
      </c>
      <c r="K271" s="3">
        <v>38</v>
      </c>
      <c r="L271" s="3">
        <v>0</v>
      </c>
      <c r="M271" s="3">
        <v>1.79</v>
      </c>
      <c r="N271" s="3" t="s">
        <v>585</v>
      </c>
      <c r="O271" s="6"/>
    </row>
    <row r="272" spans="1:15" x14ac:dyDescent="0.25">
      <c r="A272" s="3" t="s">
        <v>13</v>
      </c>
      <c r="B272" s="3" t="s">
        <v>586</v>
      </c>
      <c r="C272" s="3" t="s">
        <v>15</v>
      </c>
      <c r="D272" s="3">
        <v>450</v>
      </c>
      <c r="E272" s="3">
        <v>4</v>
      </c>
      <c r="F272" s="3">
        <v>6600</v>
      </c>
      <c r="G272" s="3">
        <v>50</v>
      </c>
      <c r="H272" s="3">
        <v>0</v>
      </c>
      <c r="I272" s="3" t="s">
        <v>16</v>
      </c>
      <c r="J272" s="3">
        <v>48</v>
      </c>
      <c r="K272" s="3">
        <v>36</v>
      </c>
      <c r="L272" s="3">
        <v>0</v>
      </c>
      <c r="M272" s="3">
        <v>1.79</v>
      </c>
      <c r="N272" s="3" t="s">
        <v>587</v>
      </c>
      <c r="O272" s="6"/>
    </row>
    <row r="273" spans="1:15" x14ac:dyDescent="0.25">
      <c r="A273" s="3" t="s">
        <v>13</v>
      </c>
      <c r="B273" s="3" t="s">
        <v>588</v>
      </c>
      <c r="C273" s="3" t="s">
        <v>73</v>
      </c>
      <c r="D273" s="3">
        <v>650</v>
      </c>
      <c r="E273" s="3">
        <v>4</v>
      </c>
      <c r="F273" s="3">
        <v>6600</v>
      </c>
      <c r="G273" s="3">
        <v>50</v>
      </c>
      <c r="H273" s="3">
        <v>0</v>
      </c>
      <c r="I273" s="3" t="s">
        <v>16</v>
      </c>
      <c r="J273" s="3">
        <v>48</v>
      </c>
      <c r="K273" s="3">
        <v>38</v>
      </c>
      <c r="L273" s="3">
        <v>0</v>
      </c>
      <c r="M273" s="3">
        <v>1.79</v>
      </c>
      <c r="N273" s="3" t="s">
        <v>589</v>
      </c>
      <c r="O273" s="6"/>
    </row>
    <row r="274" spans="1:15" x14ac:dyDescent="0.25">
      <c r="A274" s="3" t="s">
        <v>13</v>
      </c>
      <c r="B274" s="3" t="s">
        <v>590</v>
      </c>
      <c r="C274" s="3" t="s">
        <v>30</v>
      </c>
      <c r="D274" s="3">
        <v>300</v>
      </c>
      <c r="E274" s="3">
        <v>4</v>
      </c>
      <c r="F274" s="3">
        <v>3300</v>
      </c>
      <c r="G274" s="3">
        <v>50</v>
      </c>
      <c r="H274" s="3">
        <v>0</v>
      </c>
      <c r="I274" s="3" t="s">
        <v>16</v>
      </c>
      <c r="J274" s="3">
        <v>48</v>
      </c>
      <c r="K274" s="3">
        <v>38</v>
      </c>
      <c r="L274" s="3">
        <v>0</v>
      </c>
      <c r="M274" s="3">
        <v>3.3330000000000002</v>
      </c>
      <c r="N274" s="3" t="s">
        <v>591</v>
      </c>
      <c r="O274" s="6"/>
    </row>
    <row r="275" spans="1:15" x14ac:dyDescent="0.25">
      <c r="A275" s="3" t="s">
        <v>13</v>
      </c>
      <c r="B275" s="3" t="s">
        <v>592</v>
      </c>
      <c r="C275" s="3" t="s">
        <v>56</v>
      </c>
      <c r="D275" s="3">
        <v>350</v>
      </c>
      <c r="E275" s="3">
        <v>4</v>
      </c>
      <c r="F275" s="3">
        <v>400</v>
      </c>
      <c r="G275" s="3">
        <v>50</v>
      </c>
      <c r="H275" s="3">
        <v>0</v>
      </c>
      <c r="I275" s="3" t="s">
        <v>16</v>
      </c>
      <c r="J275" s="3">
        <v>48</v>
      </c>
      <c r="K275" s="3">
        <v>38</v>
      </c>
      <c r="L275" s="3">
        <v>0</v>
      </c>
      <c r="M275" s="3">
        <v>1.79</v>
      </c>
      <c r="N275" s="3" t="s">
        <v>593</v>
      </c>
      <c r="O275" s="6"/>
    </row>
    <row r="276" spans="1:15" x14ac:dyDescent="0.25">
      <c r="A276" s="3" t="s">
        <v>13</v>
      </c>
      <c r="B276" s="3" t="s">
        <v>594</v>
      </c>
      <c r="C276" s="3" t="s">
        <v>56</v>
      </c>
      <c r="D276" s="3">
        <v>315</v>
      </c>
      <c r="E276" s="3">
        <v>4</v>
      </c>
      <c r="F276" s="3">
        <v>3300</v>
      </c>
      <c r="G276" s="3">
        <v>50</v>
      </c>
      <c r="H276" s="3">
        <v>0</v>
      </c>
      <c r="I276" s="3" t="s">
        <v>16</v>
      </c>
      <c r="J276" s="3">
        <v>48</v>
      </c>
      <c r="K276" s="3">
        <v>38</v>
      </c>
      <c r="L276" s="3">
        <v>0</v>
      </c>
      <c r="M276" s="3">
        <v>1.79</v>
      </c>
      <c r="N276" s="3" t="s">
        <v>595</v>
      </c>
      <c r="O276" s="6"/>
    </row>
    <row r="277" spans="1:15" x14ac:dyDescent="0.25">
      <c r="A277" s="3" t="s">
        <v>13</v>
      </c>
      <c r="B277" s="3" t="s">
        <v>596</v>
      </c>
      <c r="C277" s="3" t="s">
        <v>56</v>
      </c>
      <c r="D277" s="3">
        <v>330</v>
      </c>
      <c r="E277" s="3">
        <v>4</v>
      </c>
      <c r="F277" s="3">
        <v>3300</v>
      </c>
      <c r="G277" s="3">
        <v>50</v>
      </c>
      <c r="H277" s="3">
        <v>0</v>
      </c>
      <c r="I277" s="3" t="s">
        <v>16</v>
      </c>
      <c r="J277" s="3">
        <v>48</v>
      </c>
      <c r="K277" s="3">
        <v>38</v>
      </c>
      <c r="L277" s="3">
        <v>0</v>
      </c>
      <c r="M277" s="3">
        <v>1.79</v>
      </c>
      <c r="N277" s="3" t="s">
        <v>597</v>
      </c>
      <c r="O277" s="6"/>
    </row>
    <row r="278" spans="1:15" x14ac:dyDescent="0.25">
      <c r="A278" s="3" t="s">
        <v>13</v>
      </c>
      <c r="B278" s="3" t="s">
        <v>598</v>
      </c>
      <c r="C278" s="3" t="s">
        <v>89</v>
      </c>
      <c r="D278" s="3">
        <v>600</v>
      </c>
      <c r="E278" s="3">
        <v>6</v>
      </c>
      <c r="F278" s="3">
        <v>6600</v>
      </c>
      <c r="G278" s="3">
        <v>50</v>
      </c>
      <c r="H278" s="3">
        <v>0</v>
      </c>
      <c r="I278" s="3" t="s">
        <v>16</v>
      </c>
      <c r="J278" s="3">
        <v>72</v>
      </c>
      <c r="K278" s="3">
        <v>58</v>
      </c>
      <c r="L278" s="3">
        <v>0</v>
      </c>
      <c r="M278" s="3">
        <v>1.79</v>
      </c>
      <c r="N278" s="3" t="s">
        <v>599</v>
      </c>
      <c r="O278" s="6"/>
    </row>
    <row r="279" spans="1:15" x14ac:dyDescent="0.25">
      <c r="A279" s="3" t="s">
        <v>13</v>
      </c>
      <c r="B279" s="3" t="s">
        <v>600</v>
      </c>
      <c r="C279" s="3" t="s">
        <v>73</v>
      </c>
      <c r="D279" s="3">
        <v>750</v>
      </c>
      <c r="E279" s="3">
        <v>4</v>
      </c>
      <c r="F279" s="3">
        <v>690</v>
      </c>
      <c r="G279" s="3">
        <v>50</v>
      </c>
      <c r="H279" s="3">
        <v>1</v>
      </c>
      <c r="I279" s="3" t="s">
        <v>16</v>
      </c>
      <c r="J279" s="3">
        <v>48</v>
      </c>
      <c r="K279" s="3">
        <v>38</v>
      </c>
      <c r="L279" s="3">
        <v>0</v>
      </c>
      <c r="M279" s="3">
        <v>1.79</v>
      </c>
      <c r="N279" s="3" t="s">
        <v>601</v>
      </c>
      <c r="O279" s="6"/>
    </row>
    <row r="280" spans="1:15" x14ac:dyDescent="0.25">
      <c r="A280" s="3" t="s">
        <v>178</v>
      </c>
      <c r="B280" s="3" t="s">
        <v>602</v>
      </c>
      <c r="C280" s="3" t="s">
        <v>73</v>
      </c>
      <c r="D280" s="3">
        <v>750</v>
      </c>
      <c r="E280" s="3">
        <v>4</v>
      </c>
      <c r="F280" s="3">
        <v>3300</v>
      </c>
      <c r="G280" s="3">
        <v>50</v>
      </c>
      <c r="H280" s="3">
        <v>1</v>
      </c>
      <c r="I280" s="3" t="s">
        <v>16</v>
      </c>
      <c r="J280" s="3">
        <v>48</v>
      </c>
      <c r="K280" s="3">
        <v>38</v>
      </c>
      <c r="L280" s="3">
        <v>0</v>
      </c>
      <c r="M280" s="3">
        <v>1.79</v>
      </c>
      <c r="N280" s="3" t="s">
        <v>603</v>
      </c>
      <c r="O280" s="6"/>
    </row>
    <row r="281" spans="1:15" x14ac:dyDescent="0.25">
      <c r="A281" s="3" t="s">
        <v>13</v>
      </c>
      <c r="B281" s="3" t="s">
        <v>604</v>
      </c>
      <c r="C281" s="3" t="s">
        <v>56</v>
      </c>
      <c r="D281" s="3">
        <v>335</v>
      </c>
      <c r="E281" s="3">
        <v>4</v>
      </c>
      <c r="F281" s="3">
        <v>3300</v>
      </c>
      <c r="G281" s="3">
        <v>50</v>
      </c>
      <c r="H281" s="3">
        <v>0</v>
      </c>
      <c r="I281" s="3" t="s">
        <v>16</v>
      </c>
      <c r="J281" s="3">
        <v>48</v>
      </c>
      <c r="K281" s="3">
        <v>36</v>
      </c>
      <c r="L281" s="3">
        <v>1.0601849999999999</v>
      </c>
      <c r="M281" s="3">
        <v>1.79</v>
      </c>
      <c r="N281" s="3" t="s">
        <v>605</v>
      </c>
      <c r="O281" s="6"/>
    </row>
    <row r="282" spans="1:15" x14ac:dyDescent="0.25">
      <c r="A282" s="3" t="s">
        <v>13</v>
      </c>
      <c r="B282" s="3" t="s">
        <v>606</v>
      </c>
      <c r="C282" s="3" t="s">
        <v>41</v>
      </c>
      <c r="D282" s="3">
        <v>170</v>
      </c>
      <c r="E282" s="3">
        <v>6</v>
      </c>
      <c r="F282" s="3">
        <v>3300</v>
      </c>
      <c r="G282" s="3">
        <v>50</v>
      </c>
      <c r="H282" s="3">
        <v>0</v>
      </c>
      <c r="I282" s="3" t="s">
        <v>16</v>
      </c>
      <c r="J282" s="3">
        <v>54</v>
      </c>
      <c r="K282" s="3">
        <v>42</v>
      </c>
      <c r="L282" s="3">
        <v>0</v>
      </c>
      <c r="M282" s="3">
        <v>1.79</v>
      </c>
      <c r="N282" s="3" t="s">
        <v>607</v>
      </c>
      <c r="O282" s="6"/>
    </row>
    <row r="283" spans="1:15" x14ac:dyDescent="0.25">
      <c r="A283" s="3" t="s">
        <v>13</v>
      </c>
      <c r="B283" s="3" t="s">
        <v>608</v>
      </c>
      <c r="C283" s="3" t="s">
        <v>61</v>
      </c>
      <c r="D283" s="3">
        <v>630</v>
      </c>
      <c r="E283" s="3">
        <v>4</v>
      </c>
      <c r="F283" s="3">
        <v>525</v>
      </c>
      <c r="G283" s="3">
        <v>50</v>
      </c>
      <c r="H283" s="3">
        <v>1</v>
      </c>
      <c r="I283" s="3" t="s">
        <v>16</v>
      </c>
      <c r="J283" s="3">
        <v>48</v>
      </c>
      <c r="K283" s="3">
        <v>38</v>
      </c>
      <c r="L283" s="3">
        <v>0</v>
      </c>
      <c r="M283" s="3">
        <v>2.33</v>
      </c>
      <c r="N283" s="3" t="s">
        <v>609</v>
      </c>
      <c r="O283" s="6"/>
    </row>
    <row r="284" spans="1:15" x14ac:dyDescent="0.25">
      <c r="A284" s="3" t="s">
        <v>13</v>
      </c>
      <c r="B284" s="3" t="s">
        <v>610</v>
      </c>
      <c r="C284" s="3" t="s">
        <v>89</v>
      </c>
      <c r="D284" s="3">
        <v>550</v>
      </c>
      <c r="E284" s="3">
        <v>4</v>
      </c>
      <c r="F284" s="3">
        <v>11000</v>
      </c>
      <c r="G284" s="3">
        <v>50</v>
      </c>
      <c r="H284" s="3">
        <v>0</v>
      </c>
      <c r="I284" s="3" t="s">
        <v>16</v>
      </c>
      <c r="J284" s="3">
        <v>48</v>
      </c>
      <c r="K284" s="3">
        <v>38</v>
      </c>
      <c r="L284" s="3">
        <v>0</v>
      </c>
      <c r="M284" s="3">
        <v>1.79</v>
      </c>
      <c r="N284" s="3" t="s">
        <v>611</v>
      </c>
      <c r="O284" s="6"/>
    </row>
    <row r="285" spans="1:15" x14ac:dyDescent="0.25">
      <c r="A285" s="3" t="s">
        <v>13</v>
      </c>
      <c r="B285" s="3" t="s">
        <v>612</v>
      </c>
      <c r="C285" s="3" t="s">
        <v>64</v>
      </c>
      <c r="D285" s="3">
        <v>650</v>
      </c>
      <c r="E285" s="3">
        <v>4</v>
      </c>
      <c r="F285" s="3">
        <v>3300</v>
      </c>
      <c r="G285" s="3">
        <v>50</v>
      </c>
      <c r="H285" s="3">
        <v>0</v>
      </c>
      <c r="I285" s="3" t="s">
        <v>16</v>
      </c>
      <c r="J285" s="3">
        <v>48</v>
      </c>
      <c r="K285" s="3">
        <v>38</v>
      </c>
      <c r="L285" s="3">
        <v>0</v>
      </c>
      <c r="M285" s="3">
        <v>1.79</v>
      </c>
      <c r="N285" s="3" t="s">
        <v>613</v>
      </c>
      <c r="O285" s="6"/>
    </row>
    <row r="286" spans="1:15" x14ac:dyDescent="0.25">
      <c r="A286" s="3" t="s">
        <v>13</v>
      </c>
      <c r="B286" s="3" t="s">
        <v>614</v>
      </c>
      <c r="C286" s="3" t="s">
        <v>212</v>
      </c>
      <c r="D286" s="3">
        <v>315</v>
      </c>
      <c r="E286" s="3">
        <v>6</v>
      </c>
      <c r="F286" s="3">
        <v>3300</v>
      </c>
      <c r="G286" s="3">
        <v>50</v>
      </c>
      <c r="H286" s="3">
        <v>0</v>
      </c>
      <c r="I286" s="3" t="s">
        <v>16</v>
      </c>
      <c r="J286" s="3">
        <v>54</v>
      </c>
      <c r="K286" s="3">
        <v>40</v>
      </c>
      <c r="L286" s="3">
        <v>0</v>
      </c>
      <c r="M286" s="3">
        <v>1.79</v>
      </c>
      <c r="N286" s="3" t="s">
        <v>615</v>
      </c>
      <c r="O286" s="6"/>
    </row>
    <row r="287" spans="1:15" x14ac:dyDescent="0.25">
      <c r="A287" s="3" t="s">
        <v>13</v>
      </c>
      <c r="B287" s="3" t="s">
        <v>616</v>
      </c>
      <c r="C287" s="3" t="s">
        <v>15</v>
      </c>
      <c r="D287" s="3">
        <v>475</v>
      </c>
      <c r="E287" s="3">
        <v>6</v>
      </c>
      <c r="F287" s="3">
        <v>3300</v>
      </c>
      <c r="G287" s="3">
        <v>50</v>
      </c>
      <c r="H287" s="3">
        <v>0</v>
      </c>
      <c r="I287" s="3" t="s">
        <v>16</v>
      </c>
      <c r="J287" s="3">
        <v>54</v>
      </c>
      <c r="K287" s="3">
        <v>42</v>
      </c>
      <c r="L287" s="3">
        <v>1</v>
      </c>
      <c r="M287" s="3">
        <v>1.79</v>
      </c>
      <c r="N287" s="3" t="s">
        <v>617</v>
      </c>
      <c r="O287" s="6"/>
    </row>
    <row r="288" spans="1:15" x14ac:dyDescent="0.25">
      <c r="A288" s="3" t="s">
        <v>13</v>
      </c>
      <c r="B288" s="3" t="s">
        <v>77</v>
      </c>
      <c r="C288" s="3" t="s">
        <v>35</v>
      </c>
      <c r="D288" s="3">
        <v>315</v>
      </c>
      <c r="E288" s="3">
        <v>2</v>
      </c>
      <c r="F288" s="3">
        <v>2200</v>
      </c>
      <c r="G288" s="3">
        <v>50</v>
      </c>
      <c r="H288" s="3">
        <v>0</v>
      </c>
      <c r="I288" s="3" t="s">
        <v>16</v>
      </c>
      <c r="J288" s="3">
        <v>48</v>
      </c>
      <c r="K288" s="3">
        <v>40</v>
      </c>
      <c r="L288" s="3">
        <v>0</v>
      </c>
      <c r="M288" s="3">
        <v>1.79</v>
      </c>
      <c r="N288" s="3" t="s">
        <v>618</v>
      </c>
      <c r="O288" s="6"/>
    </row>
    <row r="289" spans="1:15" x14ac:dyDescent="0.25">
      <c r="A289" s="3" t="s">
        <v>13</v>
      </c>
      <c r="B289" s="3" t="s">
        <v>619</v>
      </c>
      <c r="C289" s="3" t="s">
        <v>73</v>
      </c>
      <c r="D289" s="3">
        <v>750</v>
      </c>
      <c r="E289" s="3">
        <v>4</v>
      </c>
      <c r="F289" s="3">
        <v>6600</v>
      </c>
      <c r="G289" s="3">
        <v>50</v>
      </c>
      <c r="H289" s="3">
        <v>0</v>
      </c>
      <c r="I289" s="3" t="s">
        <v>16</v>
      </c>
      <c r="J289" s="3">
        <v>48</v>
      </c>
      <c r="K289" s="3">
        <v>38</v>
      </c>
      <c r="L289" s="3">
        <v>0</v>
      </c>
      <c r="M289" s="3">
        <v>1.79</v>
      </c>
      <c r="N289" s="3" t="s">
        <v>620</v>
      </c>
      <c r="O289" s="6"/>
    </row>
    <row r="290" spans="1:15" x14ac:dyDescent="0.25">
      <c r="A290" s="3" t="s">
        <v>13</v>
      </c>
      <c r="B290" s="3" t="s">
        <v>621</v>
      </c>
      <c r="C290" s="3" t="s">
        <v>19</v>
      </c>
      <c r="D290" s="3">
        <v>390</v>
      </c>
      <c r="E290" s="3">
        <v>4</v>
      </c>
      <c r="F290" s="3">
        <v>3300</v>
      </c>
      <c r="G290" s="3">
        <v>50</v>
      </c>
      <c r="H290" s="3">
        <v>0</v>
      </c>
      <c r="I290" s="3" t="s">
        <v>16</v>
      </c>
      <c r="J290" s="3">
        <v>48</v>
      </c>
      <c r="K290" s="3">
        <v>38</v>
      </c>
      <c r="L290" s="3">
        <v>0</v>
      </c>
      <c r="M290" s="3">
        <v>1.79</v>
      </c>
      <c r="N290" s="3" t="s">
        <v>622</v>
      </c>
      <c r="O290" s="6"/>
    </row>
    <row r="291" spans="1:15" x14ac:dyDescent="0.25">
      <c r="A291" s="3" t="s">
        <v>13</v>
      </c>
      <c r="B291" s="3" t="s">
        <v>623</v>
      </c>
      <c r="C291" s="3" t="s">
        <v>19</v>
      </c>
      <c r="D291" s="3">
        <v>375</v>
      </c>
      <c r="E291" s="3">
        <v>4</v>
      </c>
      <c r="F291" s="3">
        <v>3300</v>
      </c>
      <c r="G291" s="3">
        <v>50</v>
      </c>
      <c r="H291" s="3">
        <v>0</v>
      </c>
      <c r="I291" s="3" t="s">
        <v>215</v>
      </c>
      <c r="J291" s="3">
        <v>48</v>
      </c>
      <c r="K291" s="3">
        <v>38</v>
      </c>
      <c r="L291" s="3">
        <v>0</v>
      </c>
      <c r="M291" s="3">
        <v>1.79</v>
      </c>
      <c r="N291" s="3" t="s">
        <v>624</v>
      </c>
      <c r="O291" s="6"/>
    </row>
    <row r="292" spans="1:15" x14ac:dyDescent="0.25">
      <c r="A292" s="3" t="s">
        <v>13</v>
      </c>
      <c r="B292" s="3" t="s">
        <v>625</v>
      </c>
      <c r="C292" s="3" t="s">
        <v>192</v>
      </c>
      <c r="D292" s="3">
        <v>365</v>
      </c>
      <c r="E292" s="3">
        <v>2</v>
      </c>
      <c r="F292" s="3">
        <v>2200</v>
      </c>
      <c r="G292" s="3">
        <v>50</v>
      </c>
      <c r="H292" s="3">
        <v>0</v>
      </c>
      <c r="I292" s="3" t="s">
        <v>16</v>
      </c>
      <c r="J292" s="3">
        <v>48</v>
      </c>
      <c r="K292" s="3">
        <v>40</v>
      </c>
      <c r="L292" s="3">
        <v>0</v>
      </c>
      <c r="M292" s="3">
        <v>1.79</v>
      </c>
      <c r="N292" s="3" t="s">
        <v>626</v>
      </c>
      <c r="O292" s="6"/>
    </row>
    <row r="293" spans="1:15" x14ac:dyDescent="0.25">
      <c r="A293" s="3" t="s">
        <v>13</v>
      </c>
      <c r="B293" s="3" t="s">
        <v>627</v>
      </c>
      <c r="C293" s="3" t="s">
        <v>124</v>
      </c>
      <c r="D293" s="3">
        <v>1400</v>
      </c>
      <c r="E293" s="3">
        <v>4</v>
      </c>
      <c r="F293" s="3">
        <v>690</v>
      </c>
      <c r="G293" s="3">
        <v>50</v>
      </c>
      <c r="H293" s="3">
        <v>0</v>
      </c>
      <c r="I293" s="3" t="s">
        <v>16</v>
      </c>
      <c r="J293" s="3">
        <v>60</v>
      </c>
      <c r="K293" s="3">
        <v>50</v>
      </c>
      <c r="L293" s="3">
        <v>0</v>
      </c>
      <c r="M293" s="3">
        <v>1.79</v>
      </c>
      <c r="N293" s="3" t="s">
        <v>628</v>
      </c>
      <c r="O293" s="6"/>
    </row>
    <row r="294" spans="1:15" x14ac:dyDescent="0.25">
      <c r="A294" s="3" t="s">
        <v>13</v>
      </c>
      <c r="B294" s="3" t="s">
        <v>629</v>
      </c>
      <c r="C294" s="3" t="s">
        <v>73</v>
      </c>
      <c r="D294" s="3">
        <v>250</v>
      </c>
      <c r="E294" s="3">
        <v>10</v>
      </c>
      <c r="F294" s="3">
        <v>6600</v>
      </c>
      <c r="G294" s="3">
        <v>50</v>
      </c>
      <c r="H294" s="3">
        <v>1</v>
      </c>
      <c r="I294" s="3" t="s">
        <v>16</v>
      </c>
      <c r="J294" s="3">
        <v>90</v>
      </c>
      <c r="K294" s="3">
        <v>74</v>
      </c>
      <c r="L294" s="3">
        <v>0</v>
      </c>
      <c r="M294" s="3">
        <v>1.79</v>
      </c>
      <c r="N294" s="3" t="s">
        <v>630</v>
      </c>
      <c r="O294" s="6"/>
    </row>
    <row r="295" spans="1:15" x14ac:dyDescent="0.25">
      <c r="A295" s="3" t="s">
        <v>13</v>
      </c>
      <c r="B295" s="3" t="s">
        <v>631</v>
      </c>
      <c r="C295" s="3" t="s">
        <v>360</v>
      </c>
      <c r="D295" s="3">
        <v>520</v>
      </c>
      <c r="E295" s="3">
        <v>6</v>
      </c>
      <c r="F295" s="3">
        <v>11000</v>
      </c>
      <c r="G295" s="3">
        <v>50</v>
      </c>
      <c r="H295" s="3">
        <v>0</v>
      </c>
      <c r="I295" s="3" t="s">
        <v>16</v>
      </c>
      <c r="J295" s="3">
        <v>72</v>
      </c>
      <c r="K295" s="3">
        <v>54</v>
      </c>
      <c r="L295" s="3">
        <v>1.2396</v>
      </c>
      <c r="M295" s="3">
        <v>1.79</v>
      </c>
      <c r="N295" s="3" t="s">
        <v>632</v>
      </c>
      <c r="O295" s="6"/>
    </row>
    <row r="296" spans="1:15" x14ac:dyDescent="0.25">
      <c r="A296" s="3" t="s">
        <v>13</v>
      </c>
      <c r="B296" s="3" t="s">
        <v>541</v>
      </c>
      <c r="C296" s="3" t="s">
        <v>64</v>
      </c>
      <c r="D296" s="3">
        <v>500</v>
      </c>
      <c r="E296" s="3">
        <v>6</v>
      </c>
      <c r="F296" s="3">
        <v>525</v>
      </c>
      <c r="G296" s="3">
        <v>50</v>
      </c>
      <c r="H296" s="3">
        <v>1</v>
      </c>
      <c r="I296" s="3" t="s">
        <v>16</v>
      </c>
      <c r="J296" s="3">
        <v>54</v>
      </c>
      <c r="K296" s="3">
        <v>42</v>
      </c>
      <c r="L296" s="3">
        <v>0</v>
      </c>
      <c r="M296" s="3">
        <v>1.79</v>
      </c>
      <c r="N296" s="3" t="s">
        <v>633</v>
      </c>
      <c r="O296" s="6"/>
    </row>
    <row r="297" spans="1:15" x14ac:dyDescent="0.25">
      <c r="A297" s="3" t="s">
        <v>13</v>
      </c>
      <c r="B297" s="3" t="s">
        <v>634</v>
      </c>
      <c r="C297" s="3" t="s">
        <v>136</v>
      </c>
      <c r="D297" s="3">
        <v>600</v>
      </c>
      <c r="E297" s="3">
        <v>8</v>
      </c>
      <c r="F297" s="3">
        <v>4160</v>
      </c>
      <c r="G297" s="3">
        <v>60</v>
      </c>
      <c r="H297" s="3">
        <v>0</v>
      </c>
      <c r="I297" s="3" t="s">
        <v>215</v>
      </c>
      <c r="J297" s="3">
        <v>72</v>
      </c>
      <c r="K297" s="3">
        <v>88</v>
      </c>
      <c r="L297" s="3">
        <v>0</v>
      </c>
      <c r="M297" s="3">
        <v>1.79</v>
      </c>
      <c r="N297" s="3" t="s">
        <v>635</v>
      </c>
      <c r="O297" s="6"/>
    </row>
    <row r="298" spans="1:15" x14ac:dyDescent="0.25">
      <c r="A298" s="3" t="s">
        <v>13</v>
      </c>
      <c r="B298" s="3" t="s">
        <v>636</v>
      </c>
      <c r="C298" s="3" t="s">
        <v>35</v>
      </c>
      <c r="D298" s="3">
        <v>300</v>
      </c>
      <c r="E298" s="3">
        <v>2</v>
      </c>
      <c r="F298" s="3">
        <v>3300</v>
      </c>
      <c r="G298" s="3">
        <v>50</v>
      </c>
      <c r="H298" s="3">
        <v>0</v>
      </c>
      <c r="I298" s="3" t="s">
        <v>16</v>
      </c>
      <c r="J298" s="3">
        <v>48</v>
      </c>
      <c r="K298" s="3">
        <v>40</v>
      </c>
      <c r="L298" s="3">
        <v>0</v>
      </c>
      <c r="M298" s="3">
        <v>1.79</v>
      </c>
      <c r="N298" s="3" t="s">
        <v>637</v>
      </c>
      <c r="O298" s="6"/>
    </row>
    <row r="299" spans="1:15" x14ac:dyDescent="0.25">
      <c r="A299" s="3" t="s">
        <v>13</v>
      </c>
      <c r="B299" s="3" t="s">
        <v>638</v>
      </c>
      <c r="C299" s="3" t="s">
        <v>73</v>
      </c>
      <c r="D299" s="3">
        <v>750</v>
      </c>
      <c r="E299" s="3">
        <v>4</v>
      </c>
      <c r="F299" s="3">
        <v>690</v>
      </c>
      <c r="G299" s="3">
        <v>50</v>
      </c>
      <c r="H299" s="3">
        <v>1</v>
      </c>
      <c r="I299" s="3" t="s">
        <v>16</v>
      </c>
      <c r="J299" s="3">
        <v>48</v>
      </c>
      <c r="K299" s="3">
        <v>38</v>
      </c>
      <c r="L299" s="3">
        <v>0</v>
      </c>
      <c r="M299" s="3">
        <v>1.79</v>
      </c>
      <c r="N299" s="3" t="s">
        <v>639</v>
      </c>
      <c r="O299" s="6"/>
    </row>
    <row r="300" spans="1:15" x14ac:dyDescent="0.25">
      <c r="A300" s="3" t="s">
        <v>13</v>
      </c>
      <c r="B300" s="3" t="s">
        <v>640</v>
      </c>
      <c r="C300" s="3" t="s">
        <v>89</v>
      </c>
      <c r="D300" s="3">
        <v>630</v>
      </c>
      <c r="E300" s="3">
        <v>6</v>
      </c>
      <c r="F300" s="3">
        <v>6000</v>
      </c>
      <c r="G300" s="3">
        <v>50</v>
      </c>
      <c r="H300" s="3">
        <v>0</v>
      </c>
      <c r="I300" s="3" t="s">
        <v>16</v>
      </c>
      <c r="J300" s="3">
        <v>72</v>
      </c>
      <c r="K300" s="3">
        <v>58</v>
      </c>
      <c r="L300" s="3">
        <v>0</v>
      </c>
      <c r="M300" s="3">
        <v>1.79</v>
      </c>
      <c r="N300" s="3" t="s">
        <v>641</v>
      </c>
      <c r="O300" s="6"/>
    </row>
    <row r="301" spans="1:15" x14ac:dyDescent="0.25">
      <c r="A301" s="3" t="s">
        <v>13</v>
      </c>
      <c r="B301" s="3" t="s">
        <v>642</v>
      </c>
      <c r="C301" s="3" t="s">
        <v>192</v>
      </c>
      <c r="D301" s="3">
        <v>265</v>
      </c>
      <c r="E301" s="3">
        <v>2</v>
      </c>
      <c r="F301" s="3">
        <v>5500</v>
      </c>
      <c r="G301" s="3">
        <v>50</v>
      </c>
      <c r="H301" s="3">
        <v>1</v>
      </c>
      <c r="I301" s="3" t="s">
        <v>16</v>
      </c>
      <c r="J301" s="3">
        <v>48</v>
      </c>
      <c r="K301" s="3">
        <v>40</v>
      </c>
      <c r="L301" s="3">
        <v>0</v>
      </c>
      <c r="M301" s="3">
        <v>1.79</v>
      </c>
      <c r="N301" s="3" t="s">
        <v>643</v>
      </c>
      <c r="O301" s="6"/>
    </row>
    <row r="302" spans="1:15" x14ac:dyDescent="0.25">
      <c r="A302" s="3" t="s">
        <v>13</v>
      </c>
      <c r="B302" s="3" t="s">
        <v>644</v>
      </c>
      <c r="C302" s="3" t="s">
        <v>146</v>
      </c>
      <c r="D302" s="3">
        <v>270</v>
      </c>
      <c r="E302" s="3">
        <v>8</v>
      </c>
      <c r="F302" s="3">
        <v>400</v>
      </c>
      <c r="G302" s="3">
        <v>50</v>
      </c>
      <c r="H302" s="3">
        <v>0</v>
      </c>
      <c r="I302" s="3" t="s">
        <v>16</v>
      </c>
      <c r="J302" s="3">
        <v>72</v>
      </c>
      <c r="K302" s="3">
        <v>56</v>
      </c>
      <c r="L302" s="3">
        <v>0</v>
      </c>
      <c r="M302" s="3">
        <v>1.79</v>
      </c>
      <c r="N302" s="3" t="s">
        <v>645</v>
      </c>
      <c r="O302" s="6"/>
    </row>
    <row r="303" spans="1:15" x14ac:dyDescent="0.25">
      <c r="A303" s="3" t="s">
        <v>13</v>
      </c>
      <c r="B303" s="3" t="s">
        <v>646</v>
      </c>
      <c r="C303" s="3" t="s">
        <v>30</v>
      </c>
      <c r="D303" s="3">
        <v>240</v>
      </c>
      <c r="E303" s="3">
        <v>4</v>
      </c>
      <c r="F303" s="3">
        <v>6600</v>
      </c>
      <c r="G303" s="3">
        <v>50</v>
      </c>
      <c r="H303" s="3">
        <v>0</v>
      </c>
      <c r="I303" s="3" t="s">
        <v>16</v>
      </c>
      <c r="J303" s="3">
        <v>48</v>
      </c>
      <c r="K303" s="3">
        <v>38</v>
      </c>
      <c r="L303" s="3">
        <v>0</v>
      </c>
      <c r="M303" s="3">
        <v>1.79</v>
      </c>
      <c r="N303" s="3" t="s">
        <v>647</v>
      </c>
      <c r="O303" s="6"/>
    </row>
    <row r="304" spans="1:15" x14ac:dyDescent="0.25">
      <c r="A304" s="3" t="s">
        <v>13</v>
      </c>
      <c r="B304" s="3" t="s">
        <v>648</v>
      </c>
      <c r="C304" s="3" t="s">
        <v>30</v>
      </c>
      <c r="D304" s="3">
        <v>250</v>
      </c>
      <c r="E304" s="3">
        <v>4</v>
      </c>
      <c r="F304" s="3">
        <v>3300</v>
      </c>
      <c r="G304" s="3">
        <v>50</v>
      </c>
      <c r="H304" s="3">
        <v>0</v>
      </c>
      <c r="I304" s="3" t="s">
        <v>16</v>
      </c>
      <c r="J304" s="3">
        <v>48</v>
      </c>
      <c r="K304" s="3">
        <v>38</v>
      </c>
      <c r="L304" s="3">
        <v>0</v>
      </c>
      <c r="M304" s="3">
        <v>1.79</v>
      </c>
      <c r="N304" s="3" t="s">
        <v>649</v>
      </c>
      <c r="O304" s="6"/>
    </row>
    <row r="305" spans="1:15" x14ac:dyDescent="0.25">
      <c r="A305" s="3" t="s">
        <v>13</v>
      </c>
      <c r="B305" s="3" t="s">
        <v>650</v>
      </c>
      <c r="C305" s="3" t="s">
        <v>73</v>
      </c>
      <c r="D305" s="3">
        <v>350</v>
      </c>
      <c r="E305" s="3">
        <v>8</v>
      </c>
      <c r="F305" s="3">
        <v>6600</v>
      </c>
      <c r="G305" s="3">
        <v>50</v>
      </c>
      <c r="H305" s="3">
        <v>0</v>
      </c>
      <c r="I305" s="3" t="s">
        <v>16</v>
      </c>
      <c r="J305" s="3">
        <v>72</v>
      </c>
      <c r="K305" s="3">
        <v>56</v>
      </c>
      <c r="L305" s="3">
        <v>0</v>
      </c>
      <c r="M305" s="3">
        <v>1.79</v>
      </c>
      <c r="N305" s="3" t="s">
        <v>651</v>
      </c>
      <c r="O305" s="6"/>
    </row>
    <row r="306" spans="1:15" x14ac:dyDescent="0.25">
      <c r="A306" s="3" t="s">
        <v>13</v>
      </c>
      <c r="B306" s="3" t="s">
        <v>652</v>
      </c>
      <c r="C306" s="3" t="s">
        <v>168</v>
      </c>
      <c r="D306" s="3">
        <v>220</v>
      </c>
      <c r="E306" s="3">
        <v>4</v>
      </c>
      <c r="F306" s="3">
        <v>3300</v>
      </c>
      <c r="G306" s="3">
        <v>50</v>
      </c>
      <c r="H306" s="3">
        <v>0</v>
      </c>
      <c r="I306" s="3" t="s">
        <v>16</v>
      </c>
      <c r="J306" s="3">
        <v>48</v>
      </c>
      <c r="K306" s="3">
        <v>38</v>
      </c>
      <c r="L306" s="3">
        <v>0</v>
      </c>
      <c r="M306" s="3">
        <v>1.79</v>
      </c>
      <c r="N306" s="3" t="s">
        <v>653</v>
      </c>
      <c r="O306" s="6"/>
    </row>
    <row r="307" spans="1:15" x14ac:dyDescent="0.25">
      <c r="A307" s="3" t="s">
        <v>13</v>
      </c>
      <c r="B307" s="3" t="s">
        <v>654</v>
      </c>
      <c r="C307" s="3" t="s">
        <v>15</v>
      </c>
      <c r="D307" s="3">
        <v>525</v>
      </c>
      <c r="E307" s="3">
        <v>4</v>
      </c>
      <c r="F307" s="3">
        <v>6600</v>
      </c>
      <c r="G307" s="3">
        <v>50</v>
      </c>
      <c r="H307" s="3">
        <v>0</v>
      </c>
      <c r="I307" s="3" t="s">
        <v>16</v>
      </c>
      <c r="J307" s="3">
        <v>48</v>
      </c>
      <c r="K307" s="3">
        <v>38</v>
      </c>
      <c r="L307" s="3">
        <v>0</v>
      </c>
      <c r="M307" s="3">
        <v>1.79</v>
      </c>
      <c r="N307" s="3" t="s">
        <v>655</v>
      </c>
      <c r="O307" s="6"/>
    </row>
    <row r="308" spans="1:15" x14ac:dyDescent="0.25">
      <c r="A308" s="3" t="s">
        <v>13</v>
      </c>
      <c r="B308" s="3" t="s">
        <v>656</v>
      </c>
      <c r="C308" s="3" t="s">
        <v>15</v>
      </c>
      <c r="D308" s="3">
        <v>525</v>
      </c>
      <c r="E308" s="3">
        <v>4</v>
      </c>
      <c r="F308" s="3">
        <v>6600</v>
      </c>
      <c r="G308" s="3">
        <v>50</v>
      </c>
      <c r="H308" s="3">
        <v>0</v>
      </c>
      <c r="I308" s="3" t="s">
        <v>16</v>
      </c>
      <c r="J308" s="3">
        <v>48</v>
      </c>
      <c r="K308" s="3">
        <v>38</v>
      </c>
      <c r="L308" s="3">
        <v>0</v>
      </c>
      <c r="M308" s="3">
        <v>1.79</v>
      </c>
      <c r="N308" s="3" t="s">
        <v>657</v>
      </c>
      <c r="O308" s="6"/>
    </row>
    <row r="309" spans="1:15" x14ac:dyDescent="0.25">
      <c r="A309" s="3" t="s">
        <v>13</v>
      </c>
      <c r="B309" s="3" t="s">
        <v>658</v>
      </c>
      <c r="C309" s="3" t="s">
        <v>124</v>
      </c>
      <c r="D309" s="3">
        <v>1800</v>
      </c>
      <c r="E309" s="3">
        <v>4</v>
      </c>
      <c r="F309" s="3">
        <v>6600</v>
      </c>
      <c r="G309" s="3">
        <v>50</v>
      </c>
      <c r="H309" s="3">
        <v>1</v>
      </c>
      <c r="I309" s="3" t="s">
        <v>16</v>
      </c>
      <c r="J309" s="3">
        <v>60</v>
      </c>
      <c r="K309" s="3">
        <v>50</v>
      </c>
      <c r="L309" s="3">
        <v>0</v>
      </c>
      <c r="M309" s="3">
        <v>1.79</v>
      </c>
      <c r="N309" s="3" t="s">
        <v>659</v>
      </c>
      <c r="O309" s="6"/>
    </row>
    <row r="310" spans="1:15" x14ac:dyDescent="0.25">
      <c r="A310" s="3" t="s">
        <v>13</v>
      </c>
      <c r="B310" s="3" t="s">
        <v>660</v>
      </c>
      <c r="C310" s="3" t="s">
        <v>15</v>
      </c>
      <c r="D310" s="3">
        <v>500</v>
      </c>
      <c r="E310" s="3">
        <v>4</v>
      </c>
      <c r="F310" s="3">
        <v>6600</v>
      </c>
      <c r="G310" s="3">
        <v>50</v>
      </c>
      <c r="H310" s="3">
        <v>1</v>
      </c>
      <c r="I310" s="3" t="s">
        <v>16</v>
      </c>
      <c r="J310" s="3">
        <v>48</v>
      </c>
      <c r="K310" s="3">
        <v>38</v>
      </c>
      <c r="L310" s="3">
        <v>0</v>
      </c>
      <c r="M310" s="3">
        <v>1.79</v>
      </c>
      <c r="N310" s="3" t="s">
        <v>661</v>
      </c>
      <c r="O310" s="6"/>
    </row>
    <row r="311" spans="1:15" x14ac:dyDescent="0.25">
      <c r="A311" s="3" t="s">
        <v>13</v>
      </c>
      <c r="B311" s="3" t="s">
        <v>662</v>
      </c>
      <c r="C311" s="3" t="s">
        <v>73</v>
      </c>
      <c r="D311" s="3">
        <v>500</v>
      </c>
      <c r="E311" s="3">
        <v>6</v>
      </c>
      <c r="F311" s="3">
        <v>6600</v>
      </c>
      <c r="G311" s="3">
        <v>50</v>
      </c>
      <c r="H311" s="3">
        <v>1</v>
      </c>
      <c r="I311" s="3" t="s">
        <v>16</v>
      </c>
      <c r="J311" s="3">
        <v>54</v>
      </c>
      <c r="K311" s="3">
        <v>42</v>
      </c>
      <c r="L311" s="3">
        <v>1.26</v>
      </c>
      <c r="M311" s="3">
        <v>1.79</v>
      </c>
      <c r="N311" s="3" t="s">
        <v>663</v>
      </c>
      <c r="O311" s="6"/>
    </row>
    <row r="312" spans="1:15" x14ac:dyDescent="0.25">
      <c r="A312" s="3" t="s">
        <v>13</v>
      </c>
      <c r="B312" s="3" t="s">
        <v>664</v>
      </c>
      <c r="C312" s="3" t="s">
        <v>15</v>
      </c>
      <c r="D312" s="3">
        <v>500</v>
      </c>
      <c r="E312" s="3">
        <v>4</v>
      </c>
      <c r="F312" s="3">
        <v>6600</v>
      </c>
      <c r="G312" s="3">
        <v>50</v>
      </c>
      <c r="H312" s="3">
        <v>1</v>
      </c>
      <c r="I312" s="3" t="s">
        <v>16</v>
      </c>
      <c r="J312" s="3">
        <v>48</v>
      </c>
      <c r="K312" s="3">
        <v>38</v>
      </c>
      <c r="L312" s="3">
        <v>0</v>
      </c>
      <c r="M312" s="3">
        <v>1.79</v>
      </c>
      <c r="N312" s="3" t="s">
        <v>665</v>
      </c>
      <c r="O312" s="6"/>
    </row>
    <row r="313" spans="1:15" x14ac:dyDescent="0.25">
      <c r="A313" s="3" t="s">
        <v>13</v>
      </c>
      <c r="B313" s="3" t="s">
        <v>666</v>
      </c>
      <c r="C313" s="3" t="s">
        <v>73</v>
      </c>
      <c r="D313" s="3">
        <v>500</v>
      </c>
      <c r="E313" s="3">
        <v>6</v>
      </c>
      <c r="F313" s="3">
        <v>6600</v>
      </c>
      <c r="G313" s="3">
        <v>50</v>
      </c>
      <c r="H313" s="3">
        <v>1</v>
      </c>
      <c r="I313" s="3" t="s">
        <v>215</v>
      </c>
      <c r="J313" s="3">
        <v>54</v>
      </c>
      <c r="K313" s="3">
        <v>42</v>
      </c>
      <c r="L313" s="3">
        <v>1.26</v>
      </c>
      <c r="M313" s="3">
        <v>1.79</v>
      </c>
      <c r="N313" s="3" t="s">
        <v>667</v>
      </c>
      <c r="O313" s="6"/>
    </row>
    <row r="314" spans="1:15" x14ac:dyDescent="0.25">
      <c r="A314" s="3" t="s">
        <v>13</v>
      </c>
      <c r="B314" s="3" t="s">
        <v>668</v>
      </c>
      <c r="C314" s="3" t="s">
        <v>73</v>
      </c>
      <c r="D314" s="3">
        <v>350</v>
      </c>
      <c r="E314" s="3">
        <v>8</v>
      </c>
      <c r="F314" s="3">
        <v>3300</v>
      </c>
      <c r="G314" s="3">
        <v>50</v>
      </c>
      <c r="H314" s="3">
        <v>0</v>
      </c>
      <c r="I314" s="3" t="s">
        <v>16</v>
      </c>
      <c r="J314" s="3">
        <v>72</v>
      </c>
      <c r="K314" s="3">
        <v>56</v>
      </c>
      <c r="L314" s="3">
        <v>0</v>
      </c>
      <c r="M314" s="3">
        <v>1.79</v>
      </c>
      <c r="N314" s="3" t="s">
        <v>669</v>
      </c>
      <c r="O314" s="6"/>
    </row>
    <row r="315" spans="1:15" x14ac:dyDescent="0.25">
      <c r="A315" s="3" t="s">
        <v>13</v>
      </c>
      <c r="B315" s="3" t="s">
        <v>399</v>
      </c>
      <c r="C315" s="3" t="s">
        <v>146</v>
      </c>
      <c r="D315" s="3">
        <v>455</v>
      </c>
      <c r="E315" s="3">
        <v>4</v>
      </c>
      <c r="F315" s="3">
        <v>400</v>
      </c>
      <c r="G315" s="3">
        <v>50</v>
      </c>
      <c r="H315" s="3">
        <v>0</v>
      </c>
      <c r="I315" s="3" t="s">
        <v>16</v>
      </c>
      <c r="J315" s="3">
        <v>48</v>
      </c>
      <c r="K315" s="3">
        <v>38</v>
      </c>
      <c r="L315" s="3">
        <v>0</v>
      </c>
      <c r="M315" s="3">
        <v>1.79</v>
      </c>
      <c r="N315" s="3" t="s">
        <v>670</v>
      </c>
      <c r="O315" s="6"/>
    </row>
    <row r="316" spans="1:15" x14ac:dyDescent="0.25">
      <c r="A316" s="3" t="s">
        <v>13</v>
      </c>
      <c r="B316" s="3" t="s">
        <v>671</v>
      </c>
      <c r="C316" s="3" t="s">
        <v>15</v>
      </c>
      <c r="D316" s="3">
        <v>440</v>
      </c>
      <c r="E316" s="3">
        <v>6</v>
      </c>
      <c r="F316" s="3">
        <v>3300</v>
      </c>
      <c r="G316" s="3">
        <v>50</v>
      </c>
      <c r="H316" s="3">
        <v>0</v>
      </c>
      <c r="I316" s="3" t="s">
        <v>16</v>
      </c>
      <c r="J316" s="3">
        <v>54</v>
      </c>
      <c r="K316" s="3">
        <v>42</v>
      </c>
      <c r="L316" s="3">
        <v>1</v>
      </c>
      <c r="M316" s="3">
        <v>1.79</v>
      </c>
      <c r="N316" s="3" t="s">
        <v>672</v>
      </c>
      <c r="O316" s="6"/>
    </row>
    <row r="317" spans="1:15" x14ac:dyDescent="0.25">
      <c r="A317" s="3" t="s">
        <v>13</v>
      </c>
      <c r="B317" s="3" t="s">
        <v>403</v>
      </c>
      <c r="C317" s="3" t="s">
        <v>404</v>
      </c>
      <c r="D317" s="3">
        <v>650</v>
      </c>
      <c r="E317" s="3">
        <v>2</v>
      </c>
      <c r="F317" s="3">
        <v>3300</v>
      </c>
      <c r="G317" s="3">
        <v>50</v>
      </c>
      <c r="H317" s="3">
        <v>0</v>
      </c>
      <c r="I317" s="3" t="s">
        <v>16</v>
      </c>
      <c r="J317" s="3">
        <v>48</v>
      </c>
      <c r="K317" s="3">
        <v>40</v>
      </c>
      <c r="L317" s="3">
        <v>0</v>
      </c>
      <c r="M317" s="3">
        <v>1.79</v>
      </c>
      <c r="N317" s="3" t="s">
        <v>673</v>
      </c>
      <c r="O317" s="6"/>
    </row>
    <row r="318" spans="1:15" x14ac:dyDescent="0.25">
      <c r="A318" s="3" t="s">
        <v>13</v>
      </c>
      <c r="B318" s="3" t="s">
        <v>674</v>
      </c>
      <c r="C318" s="3" t="s">
        <v>462</v>
      </c>
      <c r="D318" s="3">
        <v>850</v>
      </c>
      <c r="E318" s="3">
        <v>6</v>
      </c>
      <c r="F318" s="3">
        <v>6600</v>
      </c>
      <c r="G318" s="3">
        <v>50</v>
      </c>
      <c r="H318" s="3">
        <v>1</v>
      </c>
      <c r="I318" s="3" t="s">
        <v>16</v>
      </c>
      <c r="J318" s="3">
        <v>72</v>
      </c>
      <c r="K318" s="3">
        <v>58</v>
      </c>
      <c r="L318" s="3">
        <v>0</v>
      </c>
      <c r="M318" s="3">
        <v>1.79</v>
      </c>
      <c r="N318" s="3" t="s">
        <v>675</v>
      </c>
      <c r="O318" s="6"/>
    </row>
    <row r="319" spans="1:15" x14ac:dyDescent="0.25">
      <c r="A319" s="3" t="s">
        <v>13</v>
      </c>
      <c r="B319" s="3" t="s">
        <v>676</v>
      </c>
      <c r="C319" s="3" t="s">
        <v>41</v>
      </c>
      <c r="D319" s="3">
        <v>235</v>
      </c>
      <c r="E319" s="3">
        <v>6</v>
      </c>
      <c r="F319" s="3">
        <v>3300</v>
      </c>
      <c r="G319" s="3">
        <v>50</v>
      </c>
      <c r="H319" s="3">
        <v>0</v>
      </c>
      <c r="I319" s="3" t="s">
        <v>16</v>
      </c>
      <c r="J319" s="3">
        <v>54</v>
      </c>
      <c r="K319" s="3">
        <v>42</v>
      </c>
      <c r="L319" s="3">
        <v>0</v>
      </c>
      <c r="M319" s="3">
        <v>1.79</v>
      </c>
      <c r="N319" s="3" t="s">
        <v>677</v>
      </c>
      <c r="O319" s="6"/>
    </row>
    <row r="320" spans="1:15" x14ac:dyDescent="0.25">
      <c r="A320" s="3" t="s">
        <v>13</v>
      </c>
      <c r="B320" s="3" t="s">
        <v>678</v>
      </c>
      <c r="C320" s="3" t="s">
        <v>124</v>
      </c>
      <c r="D320" s="3">
        <v>1100</v>
      </c>
      <c r="E320" s="3">
        <v>4</v>
      </c>
      <c r="F320" s="3">
        <v>11000</v>
      </c>
      <c r="G320" s="3">
        <v>50</v>
      </c>
      <c r="H320" s="3">
        <v>1</v>
      </c>
      <c r="I320" s="3" t="s">
        <v>16</v>
      </c>
      <c r="J320" s="3">
        <v>60</v>
      </c>
      <c r="K320" s="3">
        <v>50</v>
      </c>
      <c r="L320" s="3">
        <v>0</v>
      </c>
      <c r="M320" s="3">
        <v>1.79</v>
      </c>
      <c r="N320" s="3" t="s">
        <v>679</v>
      </c>
      <c r="O320" s="6"/>
    </row>
    <row r="321" spans="1:15" x14ac:dyDescent="0.25">
      <c r="A321" s="3" t="s">
        <v>13</v>
      </c>
      <c r="B321" s="3" t="s">
        <v>680</v>
      </c>
      <c r="C321" s="3" t="s">
        <v>23</v>
      </c>
      <c r="D321" s="3">
        <v>220</v>
      </c>
      <c r="E321" s="3">
        <v>4</v>
      </c>
      <c r="F321" s="3">
        <v>6600</v>
      </c>
      <c r="G321" s="3">
        <v>50</v>
      </c>
      <c r="H321" s="3">
        <v>0</v>
      </c>
      <c r="I321" s="3" t="s">
        <v>16</v>
      </c>
      <c r="J321" s="3">
        <v>48</v>
      </c>
      <c r="K321" s="3">
        <v>38</v>
      </c>
      <c r="L321" s="3">
        <v>0</v>
      </c>
      <c r="M321" s="3">
        <v>2.33</v>
      </c>
      <c r="N321" s="3" t="s">
        <v>681</v>
      </c>
      <c r="O321" s="6"/>
    </row>
    <row r="322" spans="1:15" x14ac:dyDescent="0.25">
      <c r="A322" s="3" t="s">
        <v>13</v>
      </c>
      <c r="B322" s="3" t="s">
        <v>682</v>
      </c>
      <c r="C322" s="3" t="s">
        <v>404</v>
      </c>
      <c r="D322" s="3">
        <v>450</v>
      </c>
      <c r="E322" s="3">
        <v>2</v>
      </c>
      <c r="F322" s="3">
        <v>380</v>
      </c>
      <c r="G322" s="3">
        <v>50</v>
      </c>
      <c r="H322" s="3">
        <v>0</v>
      </c>
      <c r="I322" s="3" t="s">
        <v>16</v>
      </c>
      <c r="J322" s="3">
        <v>60</v>
      </c>
      <c r="K322" s="3">
        <v>50</v>
      </c>
      <c r="L322" s="3">
        <v>0</v>
      </c>
      <c r="M322" s="3">
        <v>1.79</v>
      </c>
      <c r="N322" s="3" t="s">
        <v>683</v>
      </c>
      <c r="O322" s="6"/>
    </row>
    <row r="323" spans="1:15" x14ac:dyDescent="0.25">
      <c r="A323" s="3" t="s">
        <v>13</v>
      </c>
      <c r="B323" s="3" t="s">
        <v>684</v>
      </c>
      <c r="C323" s="3" t="s">
        <v>19</v>
      </c>
      <c r="D323" s="3">
        <v>400</v>
      </c>
      <c r="E323" s="3">
        <v>4</v>
      </c>
      <c r="F323" s="3">
        <v>3300</v>
      </c>
      <c r="G323" s="3">
        <v>50</v>
      </c>
      <c r="H323" s="3">
        <v>0</v>
      </c>
      <c r="I323" s="3" t="s">
        <v>16</v>
      </c>
      <c r="J323" s="3">
        <v>48</v>
      </c>
      <c r="K323" s="3">
        <v>38</v>
      </c>
      <c r="L323" s="3">
        <v>0</v>
      </c>
      <c r="M323" s="3">
        <v>2.33</v>
      </c>
      <c r="N323" s="3" t="s">
        <v>685</v>
      </c>
      <c r="O323" s="6"/>
    </row>
    <row r="324" spans="1:15" x14ac:dyDescent="0.25">
      <c r="A324" s="3" t="s">
        <v>13</v>
      </c>
      <c r="B324" s="3" t="s">
        <v>686</v>
      </c>
      <c r="C324" s="3" t="s">
        <v>56</v>
      </c>
      <c r="D324" s="3">
        <v>350</v>
      </c>
      <c r="E324" s="3">
        <v>4</v>
      </c>
      <c r="F324" s="3">
        <v>3300</v>
      </c>
      <c r="G324" s="3">
        <v>50</v>
      </c>
      <c r="H324" s="3">
        <v>0</v>
      </c>
      <c r="I324" s="3" t="s">
        <v>16</v>
      </c>
      <c r="J324" s="3">
        <v>48</v>
      </c>
      <c r="K324" s="3">
        <v>38</v>
      </c>
      <c r="L324" s="3">
        <v>0</v>
      </c>
      <c r="M324" s="3">
        <v>1.79</v>
      </c>
      <c r="N324" s="3" t="s">
        <v>687</v>
      </c>
      <c r="O324" s="6"/>
    </row>
    <row r="325" spans="1:15" x14ac:dyDescent="0.25">
      <c r="A325" s="3" t="s">
        <v>13</v>
      </c>
      <c r="B325" s="3" t="s">
        <v>688</v>
      </c>
      <c r="C325" s="3" t="s">
        <v>38</v>
      </c>
      <c r="D325" s="3">
        <v>250</v>
      </c>
      <c r="E325" s="3">
        <v>6</v>
      </c>
      <c r="F325" s="3">
        <v>3300</v>
      </c>
      <c r="G325" s="3">
        <v>50</v>
      </c>
      <c r="H325" s="3">
        <v>0</v>
      </c>
      <c r="I325" s="3" t="s">
        <v>16</v>
      </c>
      <c r="J325" s="3">
        <v>54</v>
      </c>
      <c r="K325" s="3">
        <v>42</v>
      </c>
      <c r="L325" s="3">
        <v>0</v>
      </c>
      <c r="M325" s="3">
        <v>1.79</v>
      </c>
      <c r="N325" s="3" t="s">
        <v>689</v>
      </c>
      <c r="O325" s="6"/>
    </row>
    <row r="326" spans="1:15" x14ac:dyDescent="0.25">
      <c r="A326" s="3" t="s">
        <v>13</v>
      </c>
      <c r="B326" s="3" t="s">
        <v>690</v>
      </c>
      <c r="C326" s="3" t="s">
        <v>56</v>
      </c>
      <c r="D326" s="3">
        <v>390</v>
      </c>
      <c r="E326" s="3">
        <v>4</v>
      </c>
      <c r="F326" s="3">
        <v>3300</v>
      </c>
      <c r="G326" s="3">
        <v>50</v>
      </c>
      <c r="H326" s="3">
        <v>0</v>
      </c>
      <c r="I326" s="3" t="s">
        <v>16</v>
      </c>
      <c r="J326" s="3">
        <v>48</v>
      </c>
      <c r="K326" s="3">
        <v>38</v>
      </c>
      <c r="L326" s="3">
        <v>0</v>
      </c>
      <c r="M326" s="3">
        <v>1.79</v>
      </c>
      <c r="N326" s="3" t="s">
        <v>691</v>
      </c>
      <c r="O326" s="6"/>
    </row>
    <row r="327" spans="1:15" x14ac:dyDescent="0.25">
      <c r="A327" s="3" t="s">
        <v>13</v>
      </c>
      <c r="B327" s="3" t="s">
        <v>692</v>
      </c>
      <c r="C327" s="3" t="s">
        <v>124</v>
      </c>
      <c r="D327" s="3">
        <v>500</v>
      </c>
      <c r="E327" s="3">
        <v>12</v>
      </c>
      <c r="F327" s="3">
        <v>6600</v>
      </c>
      <c r="G327" s="3">
        <v>50</v>
      </c>
      <c r="H327" s="3">
        <v>0</v>
      </c>
      <c r="I327" s="3" t="s">
        <v>16</v>
      </c>
      <c r="J327" s="3">
        <v>90</v>
      </c>
      <c r="K327" s="3">
        <v>70</v>
      </c>
      <c r="L327" s="3">
        <v>0</v>
      </c>
      <c r="M327" s="3">
        <v>1.79</v>
      </c>
      <c r="N327" s="3" t="s">
        <v>693</v>
      </c>
      <c r="O327" s="6"/>
    </row>
    <row r="328" spans="1:15" x14ac:dyDescent="0.25">
      <c r="A328" s="3" t="s">
        <v>13</v>
      </c>
      <c r="B328" s="3" t="s">
        <v>694</v>
      </c>
      <c r="C328" s="3" t="s">
        <v>64</v>
      </c>
      <c r="D328" s="3">
        <v>336</v>
      </c>
      <c r="E328" s="3">
        <v>8</v>
      </c>
      <c r="F328" s="3">
        <v>3300</v>
      </c>
      <c r="G328" s="3">
        <v>50</v>
      </c>
      <c r="H328" s="3">
        <v>0</v>
      </c>
      <c r="I328" s="3" t="s">
        <v>16</v>
      </c>
      <c r="J328" s="3">
        <v>72</v>
      </c>
      <c r="K328" s="3">
        <v>56</v>
      </c>
      <c r="L328" s="3">
        <v>0</v>
      </c>
      <c r="M328" s="3">
        <v>1.79</v>
      </c>
      <c r="N328" s="3" t="s">
        <v>695</v>
      </c>
      <c r="O328" s="6"/>
    </row>
    <row r="329" spans="1:15" x14ac:dyDescent="0.25">
      <c r="A329" s="3" t="s">
        <v>13</v>
      </c>
      <c r="B329" s="3" t="s">
        <v>696</v>
      </c>
      <c r="C329" s="3" t="s">
        <v>61</v>
      </c>
      <c r="D329" s="3">
        <v>500</v>
      </c>
      <c r="E329" s="3">
        <v>4</v>
      </c>
      <c r="F329" s="3">
        <v>6600</v>
      </c>
      <c r="G329" s="3">
        <v>50</v>
      </c>
      <c r="H329" s="3">
        <v>0</v>
      </c>
      <c r="I329" s="3" t="s">
        <v>16</v>
      </c>
      <c r="J329" s="3">
        <v>48</v>
      </c>
      <c r="K329" s="3">
        <v>38</v>
      </c>
      <c r="L329" s="3">
        <v>0</v>
      </c>
      <c r="M329" s="3">
        <v>1.79</v>
      </c>
      <c r="N329" s="3" t="s">
        <v>697</v>
      </c>
      <c r="O329" s="6"/>
    </row>
    <row r="330" spans="1:15" x14ac:dyDescent="0.25">
      <c r="A330" s="3" t="s">
        <v>13</v>
      </c>
      <c r="B330" s="3" t="s">
        <v>698</v>
      </c>
      <c r="C330" s="3" t="s">
        <v>19</v>
      </c>
      <c r="D330" s="3">
        <v>336</v>
      </c>
      <c r="E330" s="3">
        <v>4</v>
      </c>
      <c r="F330" s="3">
        <v>6600</v>
      </c>
      <c r="G330" s="3">
        <v>50</v>
      </c>
      <c r="H330" s="3">
        <v>0</v>
      </c>
      <c r="I330" s="3" t="s">
        <v>16</v>
      </c>
      <c r="J330" s="3">
        <v>48</v>
      </c>
      <c r="K330" s="3">
        <v>38</v>
      </c>
      <c r="L330" s="3">
        <v>0</v>
      </c>
      <c r="M330" s="3">
        <v>1.79</v>
      </c>
      <c r="N330" s="3" t="s">
        <v>699</v>
      </c>
      <c r="O330" s="6"/>
    </row>
    <row r="331" spans="1:15" x14ac:dyDescent="0.25">
      <c r="A331" s="3" t="s">
        <v>13</v>
      </c>
      <c r="B331" s="3" t="s">
        <v>700</v>
      </c>
      <c r="C331" s="3" t="s">
        <v>19</v>
      </c>
      <c r="D331" s="3">
        <v>373</v>
      </c>
      <c r="E331" s="3">
        <v>4</v>
      </c>
      <c r="F331" s="3">
        <v>6600</v>
      </c>
      <c r="G331" s="3">
        <v>50</v>
      </c>
      <c r="H331" s="3">
        <v>0</v>
      </c>
      <c r="I331" s="3" t="s">
        <v>16</v>
      </c>
      <c r="J331" s="3">
        <v>48</v>
      </c>
      <c r="K331" s="3">
        <v>36</v>
      </c>
      <c r="L331" s="3">
        <v>1.3169999999999999</v>
      </c>
      <c r="M331" s="3">
        <v>1.79</v>
      </c>
      <c r="N331" s="3" t="s">
        <v>701</v>
      </c>
      <c r="O331" s="6"/>
    </row>
    <row r="332" spans="1:15" x14ac:dyDescent="0.25">
      <c r="A332" s="3" t="s">
        <v>13</v>
      </c>
      <c r="B332" s="3" t="s">
        <v>94</v>
      </c>
      <c r="C332" s="3" t="s">
        <v>44</v>
      </c>
      <c r="D332" s="3">
        <v>400</v>
      </c>
      <c r="E332" s="3">
        <v>2</v>
      </c>
      <c r="F332" s="3">
        <v>3000</v>
      </c>
      <c r="G332" s="3">
        <v>50</v>
      </c>
      <c r="H332" s="3">
        <v>0</v>
      </c>
      <c r="I332" s="3" t="s">
        <v>16</v>
      </c>
      <c r="J332" s="3">
        <v>48</v>
      </c>
      <c r="K332" s="3">
        <v>40</v>
      </c>
      <c r="L332" s="3">
        <v>0</v>
      </c>
      <c r="M332" s="3">
        <v>1.79</v>
      </c>
      <c r="N332" s="3" t="s">
        <v>702</v>
      </c>
      <c r="O332" s="6"/>
    </row>
    <row r="333" spans="1:15" x14ac:dyDescent="0.25">
      <c r="A333" s="3" t="s">
        <v>13</v>
      </c>
      <c r="B333" s="3" t="s">
        <v>703</v>
      </c>
      <c r="C333" s="3" t="s">
        <v>73</v>
      </c>
      <c r="D333" s="3">
        <v>630</v>
      </c>
      <c r="E333" s="3">
        <v>6</v>
      </c>
      <c r="F333" s="3">
        <v>3300</v>
      </c>
      <c r="G333" s="3">
        <v>50</v>
      </c>
      <c r="H333" s="3">
        <v>0</v>
      </c>
      <c r="I333" s="3" t="s">
        <v>16</v>
      </c>
      <c r="J333" s="3">
        <v>54</v>
      </c>
      <c r="K333" s="3">
        <v>40</v>
      </c>
      <c r="L333" s="3">
        <v>0</v>
      </c>
      <c r="M333" s="3">
        <v>1.79</v>
      </c>
      <c r="N333" s="3" t="s">
        <v>704</v>
      </c>
      <c r="O333" s="6"/>
    </row>
    <row r="334" spans="1:15" x14ac:dyDescent="0.25">
      <c r="A334" s="3" t="s">
        <v>13</v>
      </c>
      <c r="B334" s="3" t="s">
        <v>705</v>
      </c>
      <c r="C334" s="3" t="s">
        <v>163</v>
      </c>
      <c r="D334" s="3">
        <v>1250</v>
      </c>
      <c r="E334" s="3">
        <v>4</v>
      </c>
      <c r="F334" s="3">
        <v>6600</v>
      </c>
      <c r="G334" s="3">
        <v>50</v>
      </c>
      <c r="H334" s="3">
        <v>0</v>
      </c>
      <c r="I334" s="3" t="s">
        <v>16</v>
      </c>
      <c r="J334" s="3">
        <v>60</v>
      </c>
      <c r="K334" s="3">
        <v>50</v>
      </c>
      <c r="L334" s="3">
        <v>0</v>
      </c>
      <c r="M334" s="3">
        <v>1.79</v>
      </c>
      <c r="N334" s="3" t="s">
        <v>706</v>
      </c>
      <c r="O334" s="6"/>
    </row>
    <row r="335" spans="1:15" x14ac:dyDescent="0.25">
      <c r="A335" s="3" t="s">
        <v>13</v>
      </c>
      <c r="B335" s="3" t="s">
        <v>707</v>
      </c>
      <c r="C335" s="3" t="s">
        <v>61</v>
      </c>
      <c r="D335" s="3">
        <v>550</v>
      </c>
      <c r="E335" s="3">
        <v>4</v>
      </c>
      <c r="F335" s="3">
        <v>6600</v>
      </c>
      <c r="G335" s="3">
        <v>50</v>
      </c>
      <c r="H335" s="3">
        <v>0</v>
      </c>
      <c r="I335" s="3" t="s">
        <v>16</v>
      </c>
      <c r="J335" s="3">
        <v>48</v>
      </c>
      <c r="K335" s="3">
        <v>38</v>
      </c>
      <c r="L335" s="3">
        <v>0</v>
      </c>
      <c r="M335" s="3">
        <v>1.79</v>
      </c>
      <c r="N335" s="3" t="s">
        <v>708</v>
      </c>
      <c r="O335" s="6"/>
    </row>
    <row r="336" spans="1:15" x14ac:dyDescent="0.25">
      <c r="A336" s="3" t="s">
        <v>13</v>
      </c>
      <c r="B336" s="3" t="s">
        <v>709</v>
      </c>
      <c r="C336" s="3" t="s">
        <v>15</v>
      </c>
      <c r="D336" s="3">
        <v>315</v>
      </c>
      <c r="E336" s="3">
        <v>8</v>
      </c>
      <c r="F336" s="3">
        <v>3300</v>
      </c>
      <c r="G336" s="3">
        <v>50</v>
      </c>
      <c r="H336" s="3">
        <v>0</v>
      </c>
      <c r="I336" s="3" t="s">
        <v>16</v>
      </c>
      <c r="J336" s="3">
        <v>72</v>
      </c>
      <c r="K336" s="3">
        <v>56</v>
      </c>
      <c r="L336" s="3">
        <v>0</v>
      </c>
      <c r="M336" s="3">
        <v>1.79</v>
      </c>
      <c r="N336" s="3" t="s">
        <v>710</v>
      </c>
      <c r="O336" s="6"/>
    </row>
    <row r="337" spans="1:15" x14ac:dyDescent="0.25">
      <c r="A337" s="3" t="s">
        <v>13</v>
      </c>
      <c r="B337" s="3" t="s">
        <v>711</v>
      </c>
      <c r="C337" s="3" t="s">
        <v>64</v>
      </c>
      <c r="D337" s="3">
        <v>470</v>
      </c>
      <c r="E337" s="3">
        <v>6</v>
      </c>
      <c r="F337" s="3">
        <v>6600</v>
      </c>
      <c r="G337" s="3">
        <v>50</v>
      </c>
      <c r="H337" s="3">
        <v>0</v>
      </c>
      <c r="I337" s="3" t="s">
        <v>16</v>
      </c>
      <c r="J337" s="3">
        <v>54</v>
      </c>
      <c r="K337" s="3">
        <v>40</v>
      </c>
      <c r="L337" s="3">
        <v>0</v>
      </c>
      <c r="M337" s="3">
        <v>1.79</v>
      </c>
      <c r="N337" s="3" t="s">
        <v>712</v>
      </c>
      <c r="O337" s="6"/>
    </row>
    <row r="338" spans="1:15" x14ac:dyDescent="0.25">
      <c r="A338" s="3" t="s">
        <v>13</v>
      </c>
      <c r="B338" s="3" t="s">
        <v>713</v>
      </c>
      <c r="C338" s="3" t="s">
        <v>73</v>
      </c>
      <c r="D338" s="3">
        <v>470</v>
      </c>
      <c r="E338" s="3">
        <v>8</v>
      </c>
      <c r="F338" s="3">
        <v>525</v>
      </c>
      <c r="G338" s="3">
        <v>50</v>
      </c>
      <c r="H338" s="3">
        <v>1</v>
      </c>
      <c r="I338" s="3" t="s">
        <v>16</v>
      </c>
      <c r="J338" s="3">
        <v>72</v>
      </c>
      <c r="K338" s="3">
        <v>56</v>
      </c>
      <c r="L338" s="3">
        <v>0</v>
      </c>
      <c r="M338" s="3">
        <v>1.79</v>
      </c>
      <c r="N338" s="3" t="s">
        <v>714</v>
      </c>
      <c r="O338" s="6"/>
    </row>
    <row r="339" spans="1:15" x14ac:dyDescent="0.25">
      <c r="A339" s="3" t="s">
        <v>13</v>
      </c>
      <c r="B339" s="3" t="s">
        <v>715</v>
      </c>
      <c r="C339" s="3" t="s">
        <v>92</v>
      </c>
      <c r="D339" s="3">
        <v>430</v>
      </c>
      <c r="E339" s="3">
        <v>2</v>
      </c>
      <c r="F339" s="3">
        <v>6600</v>
      </c>
      <c r="G339" s="3">
        <v>50</v>
      </c>
      <c r="H339" s="3">
        <v>0</v>
      </c>
      <c r="I339" s="3" t="s">
        <v>16</v>
      </c>
      <c r="J339" s="3">
        <v>48</v>
      </c>
      <c r="K339" s="3">
        <v>40</v>
      </c>
      <c r="L339" s="3">
        <v>0</v>
      </c>
      <c r="M339" s="3">
        <v>1.79</v>
      </c>
      <c r="N339" s="3" t="s">
        <v>716</v>
      </c>
      <c r="O339" s="6"/>
    </row>
    <row r="340" spans="1:15" x14ac:dyDescent="0.25">
      <c r="A340" s="3" t="s">
        <v>13</v>
      </c>
      <c r="B340" s="3" t="s">
        <v>717</v>
      </c>
      <c r="C340" s="3" t="s">
        <v>38</v>
      </c>
      <c r="D340" s="3">
        <v>250</v>
      </c>
      <c r="E340" s="3">
        <v>6</v>
      </c>
      <c r="F340" s="3">
        <v>3300</v>
      </c>
      <c r="G340" s="3">
        <v>50</v>
      </c>
      <c r="H340" s="3">
        <v>0</v>
      </c>
      <c r="I340" s="3" t="s">
        <v>16</v>
      </c>
      <c r="J340" s="3">
        <v>54</v>
      </c>
      <c r="K340" s="3">
        <v>42</v>
      </c>
      <c r="L340" s="3">
        <v>0</v>
      </c>
      <c r="M340" s="3">
        <v>1.79</v>
      </c>
      <c r="N340" s="3" t="s">
        <v>718</v>
      </c>
      <c r="O340" s="6"/>
    </row>
    <row r="341" spans="1:15" x14ac:dyDescent="0.25">
      <c r="A341" s="3" t="s">
        <v>13</v>
      </c>
      <c r="B341" s="3" t="s">
        <v>719</v>
      </c>
      <c r="C341" s="3" t="s">
        <v>192</v>
      </c>
      <c r="D341" s="3">
        <v>365</v>
      </c>
      <c r="E341" s="3">
        <v>2</v>
      </c>
      <c r="F341" s="3">
        <v>2200</v>
      </c>
      <c r="G341" s="3">
        <v>50</v>
      </c>
      <c r="H341" s="3">
        <v>0</v>
      </c>
      <c r="I341" s="3" t="s">
        <v>16</v>
      </c>
      <c r="J341" s="3">
        <v>48</v>
      </c>
      <c r="K341" s="3">
        <v>40</v>
      </c>
      <c r="L341" s="3">
        <v>0</v>
      </c>
      <c r="M341" s="3">
        <v>1.79</v>
      </c>
      <c r="N341" s="3" t="s">
        <v>720</v>
      </c>
      <c r="O341" s="6"/>
    </row>
    <row r="342" spans="1:15" x14ac:dyDescent="0.25">
      <c r="A342" s="3" t="s">
        <v>13</v>
      </c>
      <c r="B342" s="3" t="s">
        <v>721</v>
      </c>
      <c r="C342" s="3" t="s">
        <v>61</v>
      </c>
      <c r="D342" s="3">
        <v>355</v>
      </c>
      <c r="E342" s="3">
        <v>6</v>
      </c>
      <c r="F342" s="3">
        <v>6600</v>
      </c>
      <c r="G342" s="3">
        <v>50</v>
      </c>
      <c r="H342" s="3">
        <v>0</v>
      </c>
      <c r="I342" s="3" t="s">
        <v>16</v>
      </c>
      <c r="J342" s="3">
        <v>54</v>
      </c>
      <c r="K342" s="3">
        <v>40</v>
      </c>
      <c r="L342" s="3">
        <v>0</v>
      </c>
      <c r="M342" s="3">
        <v>1.79</v>
      </c>
      <c r="N342" s="3" t="s">
        <v>722</v>
      </c>
      <c r="O342" s="6"/>
    </row>
    <row r="343" spans="1:15" x14ac:dyDescent="0.25">
      <c r="A343" s="3" t="s">
        <v>13</v>
      </c>
      <c r="B343" s="3" t="s">
        <v>723</v>
      </c>
      <c r="C343" s="3" t="s">
        <v>44</v>
      </c>
      <c r="D343" s="3">
        <v>450</v>
      </c>
      <c r="E343" s="3">
        <v>2</v>
      </c>
      <c r="F343" s="3">
        <v>3300</v>
      </c>
      <c r="G343" s="3">
        <v>50</v>
      </c>
      <c r="H343" s="3">
        <v>0</v>
      </c>
      <c r="I343" s="3" t="s">
        <v>16</v>
      </c>
      <c r="J343" s="3">
        <v>48</v>
      </c>
      <c r="K343" s="3">
        <v>40</v>
      </c>
      <c r="L343" s="3">
        <v>0</v>
      </c>
      <c r="M343" s="3">
        <v>1.79</v>
      </c>
      <c r="N343" s="3" t="s">
        <v>724</v>
      </c>
      <c r="O343" s="6"/>
    </row>
    <row r="344" spans="1:15" x14ac:dyDescent="0.25">
      <c r="A344" s="3" t="s">
        <v>13</v>
      </c>
      <c r="B344" s="3" t="s">
        <v>725</v>
      </c>
      <c r="C344" s="3" t="s">
        <v>92</v>
      </c>
      <c r="D344" s="3">
        <v>450</v>
      </c>
      <c r="E344" s="3">
        <v>2</v>
      </c>
      <c r="F344" s="3">
        <v>6600</v>
      </c>
      <c r="G344" s="3">
        <v>50</v>
      </c>
      <c r="H344" s="3">
        <v>0</v>
      </c>
      <c r="I344" s="3" t="s">
        <v>16</v>
      </c>
      <c r="J344" s="3">
        <v>48</v>
      </c>
      <c r="K344" s="3">
        <v>40</v>
      </c>
      <c r="L344" s="3">
        <v>0</v>
      </c>
      <c r="M344" s="3">
        <v>1.79</v>
      </c>
      <c r="N344" s="3" t="s">
        <v>726</v>
      </c>
      <c r="O344" s="6"/>
    </row>
    <row r="345" spans="1:15" x14ac:dyDescent="0.25">
      <c r="A345" s="3" t="s">
        <v>13</v>
      </c>
      <c r="B345" s="3" t="s">
        <v>727</v>
      </c>
      <c r="C345" s="3" t="s">
        <v>124</v>
      </c>
      <c r="D345" s="3">
        <v>850</v>
      </c>
      <c r="E345" s="3">
        <v>8</v>
      </c>
      <c r="F345" s="3">
        <v>690</v>
      </c>
      <c r="G345" s="3">
        <v>50</v>
      </c>
      <c r="H345" s="3">
        <v>1</v>
      </c>
      <c r="I345" s="3" t="s">
        <v>215</v>
      </c>
      <c r="J345" s="3">
        <v>72</v>
      </c>
      <c r="K345" s="3">
        <v>58</v>
      </c>
      <c r="L345" s="3">
        <v>0</v>
      </c>
      <c r="M345" s="3">
        <v>1.79</v>
      </c>
      <c r="N345" s="3" t="s">
        <v>728</v>
      </c>
      <c r="O345" s="6"/>
    </row>
    <row r="346" spans="1:15" x14ac:dyDescent="0.25">
      <c r="A346" s="3" t="s">
        <v>13</v>
      </c>
      <c r="B346" s="3" t="s">
        <v>729</v>
      </c>
      <c r="C346" s="3" t="s">
        <v>730</v>
      </c>
      <c r="D346" s="3">
        <v>530</v>
      </c>
      <c r="E346" s="3">
        <v>2</v>
      </c>
      <c r="F346" s="3">
        <v>6600</v>
      </c>
      <c r="G346" s="3">
        <v>50</v>
      </c>
      <c r="H346" s="3">
        <v>0</v>
      </c>
      <c r="I346" s="3" t="s">
        <v>16</v>
      </c>
      <c r="J346" s="3">
        <v>48</v>
      </c>
      <c r="K346" s="3">
        <v>40</v>
      </c>
      <c r="L346" s="3">
        <v>0</v>
      </c>
      <c r="M346" s="3">
        <v>1.79</v>
      </c>
      <c r="N346" s="3" t="s">
        <v>731</v>
      </c>
      <c r="O346" s="6"/>
    </row>
    <row r="347" spans="1:15" x14ac:dyDescent="0.25">
      <c r="A347" s="3" t="s">
        <v>13</v>
      </c>
      <c r="B347" s="3" t="s">
        <v>732</v>
      </c>
      <c r="C347" s="3" t="s">
        <v>99</v>
      </c>
      <c r="D347" s="3">
        <v>350</v>
      </c>
      <c r="E347" s="3">
        <v>6</v>
      </c>
      <c r="F347" s="3">
        <v>6600</v>
      </c>
      <c r="G347" s="3">
        <v>50</v>
      </c>
      <c r="H347" s="3">
        <v>1</v>
      </c>
      <c r="I347" s="3" t="s">
        <v>16</v>
      </c>
      <c r="J347" s="3">
        <v>54</v>
      </c>
      <c r="K347" s="3">
        <v>42</v>
      </c>
      <c r="L347" s="3">
        <v>1</v>
      </c>
      <c r="M347" s="3">
        <v>1.79</v>
      </c>
      <c r="N347" s="3" t="s">
        <v>733</v>
      </c>
      <c r="O347" s="6"/>
    </row>
    <row r="348" spans="1:15" x14ac:dyDescent="0.25">
      <c r="A348" s="3" t="s">
        <v>13</v>
      </c>
      <c r="B348" s="3" t="s">
        <v>734</v>
      </c>
      <c r="C348" s="3" t="s">
        <v>23</v>
      </c>
      <c r="D348" s="3">
        <v>260</v>
      </c>
      <c r="E348" s="3">
        <v>4</v>
      </c>
      <c r="F348" s="3">
        <v>3300</v>
      </c>
      <c r="G348" s="3">
        <v>50</v>
      </c>
      <c r="H348" s="3">
        <v>0</v>
      </c>
      <c r="I348" s="3" t="s">
        <v>16</v>
      </c>
      <c r="J348" s="3">
        <v>48</v>
      </c>
      <c r="K348" s="3">
        <v>38</v>
      </c>
      <c r="L348" s="3">
        <v>0</v>
      </c>
      <c r="M348" s="3">
        <v>2.33</v>
      </c>
      <c r="N348" s="3" t="s">
        <v>735</v>
      </c>
      <c r="O348" s="6"/>
    </row>
    <row r="349" spans="1:15" x14ac:dyDescent="0.25">
      <c r="A349" s="3" t="s">
        <v>13</v>
      </c>
      <c r="B349" s="3" t="s">
        <v>736</v>
      </c>
      <c r="C349" s="3" t="s">
        <v>35</v>
      </c>
      <c r="D349" s="3">
        <v>325</v>
      </c>
      <c r="E349" s="3">
        <v>2</v>
      </c>
      <c r="F349" s="3">
        <v>3300</v>
      </c>
      <c r="G349" s="3">
        <v>50</v>
      </c>
      <c r="H349" s="3">
        <v>0</v>
      </c>
      <c r="I349" s="3" t="s">
        <v>16</v>
      </c>
      <c r="J349" s="3">
        <v>48</v>
      </c>
      <c r="K349" s="3">
        <v>40</v>
      </c>
      <c r="L349" s="3">
        <v>0</v>
      </c>
      <c r="M349" s="3">
        <v>1.79</v>
      </c>
      <c r="N349" s="3" t="s">
        <v>737</v>
      </c>
      <c r="O349" s="6"/>
    </row>
    <row r="350" spans="1:15" x14ac:dyDescent="0.25">
      <c r="A350" s="3" t="s">
        <v>13</v>
      </c>
      <c r="B350" s="3" t="s">
        <v>738</v>
      </c>
      <c r="C350" s="3" t="s">
        <v>320</v>
      </c>
      <c r="D350" s="3">
        <v>720</v>
      </c>
      <c r="E350" s="3">
        <v>4</v>
      </c>
      <c r="F350" s="3">
        <v>6600</v>
      </c>
      <c r="G350" s="3">
        <v>50</v>
      </c>
      <c r="H350" s="3">
        <v>0</v>
      </c>
      <c r="I350" s="3" t="s">
        <v>16</v>
      </c>
      <c r="J350" s="3">
        <v>60</v>
      </c>
      <c r="K350" s="3">
        <v>50</v>
      </c>
      <c r="L350" s="3">
        <v>0</v>
      </c>
      <c r="M350" s="3">
        <v>1.78</v>
      </c>
      <c r="N350" s="3" t="s">
        <v>739</v>
      </c>
      <c r="O350" s="6"/>
    </row>
    <row r="351" spans="1:15" x14ac:dyDescent="0.25">
      <c r="A351" s="3" t="s">
        <v>13</v>
      </c>
      <c r="B351" s="3" t="s">
        <v>103</v>
      </c>
      <c r="C351" s="3" t="s">
        <v>15</v>
      </c>
      <c r="D351" s="3">
        <v>550</v>
      </c>
      <c r="E351" s="3">
        <v>4</v>
      </c>
      <c r="F351" s="3">
        <v>3300</v>
      </c>
      <c r="G351" s="3">
        <v>50</v>
      </c>
      <c r="H351" s="3">
        <v>0</v>
      </c>
      <c r="I351" s="3" t="s">
        <v>16</v>
      </c>
      <c r="J351" s="3">
        <v>48</v>
      </c>
      <c r="K351" s="3">
        <v>36</v>
      </c>
      <c r="L351" s="3">
        <v>0</v>
      </c>
      <c r="M351" s="3">
        <v>1.79</v>
      </c>
      <c r="N351" s="3" t="s">
        <v>740</v>
      </c>
      <c r="O351" s="6"/>
    </row>
    <row r="352" spans="1:15" x14ac:dyDescent="0.25">
      <c r="A352" s="3" t="s">
        <v>13</v>
      </c>
      <c r="B352" s="3" t="s">
        <v>741</v>
      </c>
      <c r="C352" s="3" t="s">
        <v>92</v>
      </c>
      <c r="D352" s="3">
        <v>500</v>
      </c>
      <c r="E352" s="3">
        <v>2</v>
      </c>
      <c r="F352" s="3">
        <v>3300</v>
      </c>
      <c r="G352" s="3">
        <v>50</v>
      </c>
      <c r="H352" s="3">
        <v>0</v>
      </c>
      <c r="I352" s="3" t="s">
        <v>16</v>
      </c>
      <c r="J352" s="3">
        <v>48</v>
      </c>
      <c r="K352" s="3">
        <v>40</v>
      </c>
      <c r="L352" s="3">
        <v>0</v>
      </c>
      <c r="M352" s="3">
        <v>1.79</v>
      </c>
      <c r="N352" s="3" t="s">
        <v>742</v>
      </c>
      <c r="O352" s="6"/>
    </row>
    <row r="353" spans="1:15" x14ac:dyDescent="0.25">
      <c r="A353" s="3" t="s">
        <v>13</v>
      </c>
      <c r="B353" s="3" t="s">
        <v>743</v>
      </c>
      <c r="C353" s="3" t="s">
        <v>92</v>
      </c>
      <c r="D353" s="3">
        <v>430</v>
      </c>
      <c r="E353" s="3">
        <v>2</v>
      </c>
      <c r="F353" s="3">
        <v>6600</v>
      </c>
      <c r="G353" s="3">
        <v>50</v>
      </c>
      <c r="H353" s="3">
        <v>0</v>
      </c>
      <c r="I353" s="3" t="s">
        <v>16</v>
      </c>
      <c r="J353" s="3">
        <v>48</v>
      </c>
      <c r="K353" s="3">
        <v>40</v>
      </c>
      <c r="L353" s="3">
        <v>0</v>
      </c>
      <c r="M353" s="3">
        <v>1.79</v>
      </c>
      <c r="N353" s="3" t="s">
        <v>744</v>
      </c>
      <c r="O353" s="6"/>
    </row>
    <row r="354" spans="1:15" x14ac:dyDescent="0.25">
      <c r="A354" s="3" t="s">
        <v>13</v>
      </c>
      <c r="B354" s="3" t="s">
        <v>745</v>
      </c>
      <c r="C354" s="3" t="s">
        <v>146</v>
      </c>
      <c r="D354" s="3">
        <v>400</v>
      </c>
      <c r="E354" s="3">
        <v>4</v>
      </c>
      <c r="F354" s="3">
        <v>6600</v>
      </c>
      <c r="G354" s="3">
        <v>50</v>
      </c>
      <c r="H354" s="3">
        <v>0</v>
      </c>
      <c r="I354" s="3" t="s">
        <v>16</v>
      </c>
      <c r="J354" s="3">
        <v>48</v>
      </c>
      <c r="K354" s="3">
        <v>38</v>
      </c>
      <c r="L354" s="3">
        <v>0</v>
      </c>
      <c r="M354" s="3">
        <v>1.79</v>
      </c>
      <c r="N354" s="3" t="s">
        <v>746</v>
      </c>
      <c r="O354" s="6"/>
    </row>
    <row r="355" spans="1:15" x14ac:dyDescent="0.25">
      <c r="A355" s="3" t="s">
        <v>13</v>
      </c>
      <c r="B355" s="3" t="s">
        <v>747</v>
      </c>
      <c r="C355" s="3" t="s">
        <v>146</v>
      </c>
      <c r="D355" s="3">
        <v>400</v>
      </c>
      <c r="E355" s="3">
        <v>4</v>
      </c>
      <c r="F355" s="3">
        <v>3300</v>
      </c>
      <c r="G355" s="3">
        <v>50</v>
      </c>
      <c r="H355" s="3">
        <v>0</v>
      </c>
      <c r="I355" s="3" t="s">
        <v>16</v>
      </c>
      <c r="J355" s="3">
        <v>48</v>
      </c>
      <c r="K355" s="3">
        <v>38</v>
      </c>
      <c r="L355" s="3">
        <v>0</v>
      </c>
      <c r="M355" s="3">
        <v>1.79</v>
      </c>
      <c r="N355" s="3" t="s">
        <v>748</v>
      </c>
      <c r="O355" s="6"/>
    </row>
    <row r="356" spans="1:15" x14ac:dyDescent="0.25">
      <c r="A356" s="3" t="s">
        <v>13</v>
      </c>
      <c r="B356" s="3" t="s">
        <v>749</v>
      </c>
      <c r="C356" s="3" t="s">
        <v>15</v>
      </c>
      <c r="D356" s="3">
        <v>520</v>
      </c>
      <c r="E356" s="3">
        <v>4</v>
      </c>
      <c r="F356" s="3">
        <v>3300</v>
      </c>
      <c r="G356" s="3">
        <v>50</v>
      </c>
      <c r="H356" s="3">
        <v>0</v>
      </c>
      <c r="I356" s="3" t="s">
        <v>16</v>
      </c>
      <c r="J356" s="3">
        <v>48</v>
      </c>
      <c r="K356" s="3">
        <v>38</v>
      </c>
      <c r="L356" s="3">
        <v>0</v>
      </c>
      <c r="M356" s="3">
        <v>1.79</v>
      </c>
      <c r="N356" s="3" t="s">
        <v>750</v>
      </c>
      <c r="O356" s="6"/>
    </row>
    <row r="357" spans="1:15" x14ac:dyDescent="0.25">
      <c r="A357" s="3" t="s">
        <v>13</v>
      </c>
      <c r="B357" s="3" t="s">
        <v>751</v>
      </c>
      <c r="C357" s="3" t="s">
        <v>146</v>
      </c>
      <c r="D357" s="3">
        <v>495</v>
      </c>
      <c r="E357" s="3">
        <v>4</v>
      </c>
      <c r="F357" s="3">
        <v>3300</v>
      </c>
      <c r="G357" s="3">
        <v>50</v>
      </c>
      <c r="H357" s="3">
        <v>0</v>
      </c>
      <c r="I357" s="3" t="s">
        <v>16</v>
      </c>
      <c r="J357" s="3">
        <v>48</v>
      </c>
      <c r="K357" s="3">
        <v>38</v>
      </c>
      <c r="L357" s="3">
        <v>0</v>
      </c>
      <c r="M357" s="3">
        <v>1.79</v>
      </c>
      <c r="N357" s="3" t="s">
        <v>752</v>
      </c>
      <c r="O357" s="6"/>
    </row>
    <row r="358" spans="1:15" x14ac:dyDescent="0.25">
      <c r="A358" s="3" t="s">
        <v>13</v>
      </c>
      <c r="B358" s="3" t="s">
        <v>753</v>
      </c>
      <c r="C358" s="3" t="s">
        <v>136</v>
      </c>
      <c r="D358" s="3">
        <v>700</v>
      </c>
      <c r="E358" s="3">
        <v>6</v>
      </c>
      <c r="F358" s="3">
        <v>6600</v>
      </c>
      <c r="G358" s="3">
        <v>50</v>
      </c>
      <c r="H358" s="3">
        <v>0</v>
      </c>
      <c r="I358" s="3" t="s">
        <v>16</v>
      </c>
      <c r="J358" s="3">
        <v>72</v>
      </c>
      <c r="K358" s="3">
        <v>54</v>
      </c>
      <c r="L358" s="3">
        <v>1.2396</v>
      </c>
      <c r="M358" s="3">
        <v>1.79</v>
      </c>
      <c r="N358" s="3" t="s">
        <v>754</v>
      </c>
      <c r="O358" s="6"/>
    </row>
    <row r="359" spans="1:15" x14ac:dyDescent="0.25">
      <c r="A359" s="3" t="s">
        <v>13</v>
      </c>
      <c r="B359" s="3" t="s">
        <v>755</v>
      </c>
      <c r="C359" s="3" t="s">
        <v>360</v>
      </c>
      <c r="D359" s="3">
        <v>800</v>
      </c>
      <c r="E359" s="3">
        <v>6</v>
      </c>
      <c r="F359" s="3">
        <v>6600</v>
      </c>
      <c r="G359" s="3">
        <v>50</v>
      </c>
      <c r="H359" s="3">
        <v>0</v>
      </c>
      <c r="I359" s="3" t="s">
        <v>16</v>
      </c>
      <c r="J359" s="3">
        <v>72</v>
      </c>
      <c r="K359" s="3">
        <v>54</v>
      </c>
      <c r="L359" s="3">
        <v>1.2396</v>
      </c>
      <c r="M359" s="3">
        <v>1.79</v>
      </c>
      <c r="N359" s="3" t="s">
        <v>756</v>
      </c>
      <c r="O359" s="6"/>
    </row>
    <row r="360" spans="1:15" x14ac:dyDescent="0.25">
      <c r="A360" s="3" t="s">
        <v>13</v>
      </c>
      <c r="B360" s="3" t="s">
        <v>757</v>
      </c>
      <c r="C360" s="3" t="s">
        <v>61</v>
      </c>
      <c r="D360" s="3">
        <v>500</v>
      </c>
      <c r="E360" s="3">
        <v>4</v>
      </c>
      <c r="F360" s="3">
        <v>3300</v>
      </c>
      <c r="G360" s="3">
        <v>50</v>
      </c>
      <c r="H360" s="3">
        <v>0</v>
      </c>
      <c r="I360" s="3" t="s">
        <v>16</v>
      </c>
      <c r="J360" s="3">
        <v>48</v>
      </c>
      <c r="K360" s="3">
        <v>38</v>
      </c>
      <c r="L360" s="3">
        <v>0</v>
      </c>
      <c r="M360" s="3">
        <v>1.79</v>
      </c>
      <c r="N360" s="3" t="s">
        <v>758</v>
      </c>
      <c r="O360" s="6"/>
    </row>
    <row r="361" spans="1:15" x14ac:dyDescent="0.25">
      <c r="A361" s="3" t="s">
        <v>13</v>
      </c>
      <c r="B361" s="3" t="s">
        <v>759</v>
      </c>
      <c r="C361" s="3" t="s">
        <v>64</v>
      </c>
      <c r="D361" s="3">
        <v>500</v>
      </c>
      <c r="E361" s="3">
        <v>6</v>
      </c>
      <c r="F361" s="3">
        <v>3300</v>
      </c>
      <c r="G361" s="3">
        <v>50</v>
      </c>
      <c r="H361" s="3">
        <v>1</v>
      </c>
      <c r="I361" s="3" t="s">
        <v>16</v>
      </c>
      <c r="J361" s="3">
        <v>54</v>
      </c>
      <c r="K361" s="3">
        <v>40</v>
      </c>
      <c r="L361" s="3">
        <v>0</v>
      </c>
      <c r="M361" s="3">
        <v>1.79</v>
      </c>
      <c r="N361" s="3" t="s">
        <v>760</v>
      </c>
      <c r="O361" s="6"/>
    </row>
    <row r="362" spans="1:15" x14ac:dyDescent="0.25">
      <c r="A362" s="3" t="s">
        <v>13</v>
      </c>
      <c r="B362" s="3" t="s">
        <v>761</v>
      </c>
      <c r="C362" s="3" t="s">
        <v>61</v>
      </c>
      <c r="D362" s="3">
        <v>500</v>
      </c>
      <c r="E362" s="3">
        <v>4</v>
      </c>
      <c r="F362" s="3">
        <v>3300</v>
      </c>
      <c r="G362" s="3">
        <v>50</v>
      </c>
      <c r="H362" s="3">
        <v>0</v>
      </c>
      <c r="I362" s="3" t="s">
        <v>16</v>
      </c>
      <c r="J362" s="3">
        <v>48</v>
      </c>
      <c r="K362" s="3">
        <v>38</v>
      </c>
      <c r="L362" s="3">
        <v>0</v>
      </c>
      <c r="M362" s="3">
        <v>1.79</v>
      </c>
      <c r="N362" s="3" t="s">
        <v>762</v>
      </c>
      <c r="O362" s="6"/>
    </row>
    <row r="363" spans="1:15" x14ac:dyDescent="0.25">
      <c r="A363" s="3" t="s">
        <v>13</v>
      </c>
      <c r="B363" s="3" t="s">
        <v>763</v>
      </c>
      <c r="C363" s="3" t="s">
        <v>19</v>
      </c>
      <c r="D363" s="3">
        <v>420</v>
      </c>
      <c r="E363" s="3">
        <v>4</v>
      </c>
      <c r="F363" s="3">
        <v>3300</v>
      </c>
      <c r="G363" s="3">
        <v>50</v>
      </c>
      <c r="H363" s="3">
        <v>0</v>
      </c>
      <c r="I363" s="3" t="s">
        <v>16</v>
      </c>
      <c r="J363" s="3">
        <v>48</v>
      </c>
      <c r="K363" s="3">
        <v>38</v>
      </c>
      <c r="L363" s="3">
        <v>0</v>
      </c>
      <c r="M363" s="3">
        <v>1.79</v>
      </c>
      <c r="N363" s="3" t="s">
        <v>764</v>
      </c>
      <c r="O363" s="6"/>
    </row>
    <row r="364" spans="1:15" x14ac:dyDescent="0.25">
      <c r="A364" s="3" t="s">
        <v>13</v>
      </c>
      <c r="B364" s="3" t="s">
        <v>763</v>
      </c>
      <c r="C364" s="3" t="s">
        <v>146</v>
      </c>
      <c r="D364" s="3">
        <v>420</v>
      </c>
      <c r="E364" s="3">
        <v>4</v>
      </c>
      <c r="F364" s="3">
        <v>2200</v>
      </c>
      <c r="G364" s="3">
        <v>50</v>
      </c>
      <c r="H364" s="3">
        <v>0</v>
      </c>
      <c r="I364" s="3" t="s">
        <v>16</v>
      </c>
      <c r="J364" s="3">
        <v>48</v>
      </c>
      <c r="K364" s="3">
        <v>38</v>
      </c>
      <c r="L364" s="3">
        <v>0</v>
      </c>
      <c r="M364" s="3">
        <v>3.17</v>
      </c>
      <c r="N364" s="3" t="s">
        <v>765</v>
      </c>
      <c r="O364" s="6"/>
    </row>
    <row r="365" spans="1:15" x14ac:dyDescent="0.25">
      <c r="A365" s="3" t="s">
        <v>13</v>
      </c>
      <c r="B365" s="3" t="s">
        <v>766</v>
      </c>
      <c r="C365" s="3" t="s">
        <v>92</v>
      </c>
      <c r="D365" s="3">
        <v>465</v>
      </c>
      <c r="E365" s="3">
        <v>2</v>
      </c>
      <c r="F365" s="3">
        <v>6600</v>
      </c>
      <c r="G365" s="3">
        <v>50</v>
      </c>
      <c r="H365" s="3">
        <v>0</v>
      </c>
      <c r="I365" s="3" t="s">
        <v>16</v>
      </c>
      <c r="J365" s="3">
        <v>48</v>
      </c>
      <c r="K365" s="3">
        <v>40</v>
      </c>
      <c r="L365" s="3">
        <v>0</v>
      </c>
      <c r="M365" s="3">
        <v>2.33</v>
      </c>
      <c r="N365" s="3" t="s">
        <v>767</v>
      </c>
      <c r="O365" s="6"/>
    </row>
    <row r="366" spans="1:15" x14ac:dyDescent="0.25">
      <c r="A366" s="3" t="s">
        <v>13</v>
      </c>
      <c r="B366" s="3" t="s">
        <v>768</v>
      </c>
      <c r="C366" s="3" t="s">
        <v>360</v>
      </c>
      <c r="D366" s="3">
        <v>790</v>
      </c>
      <c r="E366" s="3">
        <v>6</v>
      </c>
      <c r="F366" s="3">
        <v>3300</v>
      </c>
      <c r="G366" s="3">
        <v>50</v>
      </c>
      <c r="H366" s="3">
        <v>0</v>
      </c>
      <c r="I366" s="3" t="s">
        <v>16</v>
      </c>
      <c r="J366" s="3">
        <v>72</v>
      </c>
      <c r="K366" s="3">
        <v>54</v>
      </c>
      <c r="L366" s="3">
        <v>1.2396</v>
      </c>
      <c r="M366" s="3">
        <v>1.79</v>
      </c>
      <c r="N366" s="3" t="s">
        <v>769</v>
      </c>
      <c r="O366" s="6"/>
    </row>
    <row r="367" spans="1:15" x14ac:dyDescent="0.25">
      <c r="A367" s="3" t="s">
        <v>13</v>
      </c>
      <c r="B367" s="3" t="s">
        <v>770</v>
      </c>
      <c r="C367" s="3" t="s">
        <v>192</v>
      </c>
      <c r="D367" s="3">
        <v>365</v>
      </c>
      <c r="E367" s="3">
        <v>2</v>
      </c>
      <c r="F367" s="3">
        <v>2200</v>
      </c>
      <c r="G367" s="3">
        <v>50</v>
      </c>
      <c r="H367" s="3">
        <v>0</v>
      </c>
      <c r="I367" s="3" t="s">
        <v>16</v>
      </c>
      <c r="J367" s="3">
        <v>48</v>
      </c>
      <c r="K367" s="3">
        <v>40</v>
      </c>
      <c r="L367" s="3">
        <v>0</v>
      </c>
      <c r="M367" s="3">
        <v>1.79</v>
      </c>
      <c r="N367" s="3" t="s">
        <v>771</v>
      </c>
      <c r="O367" s="6"/>
    </row>
    <row r="368" spans="1:15" x14ac:dyDescent="0.25">
      <c r="A368" s="3" t="s">
        <v>46</v>
      </c>
      <c r="B368" s="3" t="s">
        <v>772</v>
      </c>
      <c r="C368" s="3" t="s">
        <v>773</v>
      </c>
      <c r="D368" s="3">
        <v>200</v>
      </c>
      <c r="E368" s="3">
        <v>2</v>
      </c>
      <c r="F368" s="3">
        <v>6600</v>
      </c>
      <c r="G368" s="3">
        <v>50</v>
      </c>
      <c r="H368" s="3">
        <v>0</v>
      </c>
      <c r="I368" s="3" t="s">
        <v>16</v>
      </c>
      <c r="J368" s="3">
        <v>48</v>
      </c>
      <c r="K368" s="3">
        <v>40</v>
      </c>
      <c r="L368" s="3">
        <v>0</v>
      </c>
      <c r="M368" s="3">
        <v>1.79</v>
      </c>
      <c r="N368" s="3" t="s">
        <v>774</v>
      </c>
      <c r="O368" s="6"/>
    </row>
    <row r="369" spans="1:15" x14ac:dyDescent="0.25">
      <c r="A369" s="3" t="s">
        <v>21</v>
      </c>
      <c r="B369" s="3" t="s">
        <v>775</v>
      </c>
      <c r="C369" s="3" t="s">
        <v>56</v>
      </c>
      <c r="D369" s="3">
        <v>400</v>
      </c>
      <c r="E369" s="3">
        <v>4</v>
      </c>
      <c r="F369" s="3">
        <v>6600</v>
      </c>
      <c r="G369" s="3">
        <v>50</v>
      </c>
      <c r="H369" s="3">
        <v>0</v>
      </c>
      <c r="I369" s="3" t="s">
        <v>16</v>
      </c>
      <c r="J369" s="3">
        <v>48</v>
      </c>
      <c r="K369" s="3">
        <v>38</v>
      </c>
      <c r="L369" s="3">
        <v>0</v>
      </c>
      <c r="M369" s="3">
        <v>1.79</v>
      </c>
      <c r="N369" s="3" t="s">
        <v>776</v>
      </c>
      <c r="O369" s="6"/>
    </row>
    <row r="370" spans="1:15" x14ac:dyDescent="0.25">
      <c r="A370" s="3" t="s">
        <v>777</v>
      </c>
      <c r="B370" s="3" t="s">
        <v>778</v>
      </c>
      <c r="C370" s="3" t="s">
        <v>15</v>
      </c>
      <c r="D370" s="3">
        <v>620</v>
      </c>
      <c r="E370" s="3">
        <v>4</v>
      </c>
      <c r="F370" s="3">
        <v>3300</v>
      </c>
      <c r="G370" s="3">
        <v>50</v>
      </c>
      <c r="H370" s="3">
        <v>0</v>
      </c>
      <c r="I370" s="3" t="s">
        <v>16</v>
      </c>
      <c r="J370" s="3">
        <v>48</v>
      </c>
      <c r="K370" s="3">
        <v>38</v>
      </c>
      <c r="L370" s="3">
        <v>0</v>
      </c>
      <c r="M370" s="3">
        <v>1.79</v>
      </c>
      <c r="N370" s="3" t="s">
        <v>779</v>
      </c>
      <c r="O370" s="6"/>
    </row>
    <row r="371" spans="1:15" x14ac:dyDescent="0.25">
      <c r="A371" s="3" t="s">
        <v>46</v>
      </c>
      <c r="B371" s="3" t="s">
        <v>780</v>
      </c>
      <c r="C371" s="3" t="s">
        <v>131</v>
      </c>
      <c r="D371" s="3">
        <v>630</v>
      </c>
      <c r="E371" s="3">
        <v>4</v>
      </c>
      <c r="F371" s="3">
        <v>3300</v>
      </c>
      <c r="G371" s="3">
        <v>50</v>
      </c>
      <c r="H371" s="3">
        <v>1</v>
      </c>
      <c r="I371" s="3" t="s">
        <v>16</v>
      </c>
      <c r="J371" s="3">
        <v>48</v>
      </c>
      <c r="K371" s="3">
        <v>38</v>
      </c>
      <c r="L371" s="3">
        <v>0</v>
      </c>
      <c r="M371" s="3">
        <v>1.79</v>
      </c>
      <c r="N371" s="3" t="s">
        <v>781</v>
      </c>
      <c r="O371" s="6"/>
    </row>
    <row r="372" spans="1:15" x14ac:dyDescent="0.25">
      <c r="A372" s="3" t="s">
        <v>28</v>
      </c>
      <c r="B372" s="3" t="s">
        <v>782</v>
      </c>
      <c r="C372" s="3" t="s">
        <v>26</v>
      </c>
      <c r="D372" s="3">
        <v>225</v>
      </c>
      <c r="E372" s="3">
        <v>2</v>
      </c>
      <c r="F372" s="3">
        <v>2200</v>
      </c>
      <c r="G372" s="3">
        <v>50</v>
      </c>
      <c r="H372" s="3">
        <v>0</v>
      </c>
      <c r="I372" s="3" t="s">
        <v>16</v>
      </c>
      <c r="J372" s="3">
        <v>48</v>
      </c>
      <c r="K372" s="3">
        <v>40</v>
      </c>
      <c r="L372" s="3">
        <v>0</v>
      </c>
      <c r="M372" s="3">
        <v>1.79</v>
      </c>
      <c r="N372" s="3" t="s">
        <v>783</v>
      </c>
      <c r="O372" s="6"/>
    </row>
    <row r="373" spans="1:15" x14ac:dyDescent="0.25">
      <c r="A373" s="3" t="s">
        <v>13</v>
      </c>
      <c r="B373" s="3" t="s">
        <v>784</v>
      </c>
      <c r="C373" s="3" t="s">
        <v>124</v>
      </c>
      <c r="D373" s="3">
        <v>950</v>
      </c>
      <c r="E373" s="3">
        <v>8</v>
      </c>
      <c r="F373" s="3">
        <v>730</v>
      </c>
      <c r="G373" s="3">
        <v>50</v>
      </c>
      <c r="H373" s="3">
        <v>0</v>
      </c>
      <c r="I373" s="3" t="s">
        <v>16</v>
      </c>
      <c r="J373" s="3">
        <v>72</v>
      </c>
      <c r="K373" s="3">
        <v>58</v>
      </c>
      <c r="L373" s="3">
        <v>0</v>
      </c>
      <c r="M373" s="3">
        <v>1.79</v>
      </c>
      <c r="N373" s="3" t="s">
        <v>785</v>
      </c>
      <c r="O373" s="6"/>
    </row>
    <row r="374" spans="1:15" x14ac:dyDescent="0.25">
      <c r="A374" s="3" t="s">
        <v>46</v>
      </c>
      <c r="B374" s="3" t="s">
        <v>786</v>
      </c>
      <c r="C374" s="3" t="s">
        <v>56</v>
      </c>
      <c r="D374" s="3">
        <v>300</v>
      </c>
      <c r="E374" s="3">
        <v>4</v>
      </c>
      <c r="F374" s="3">
        <v>6000</v>
      </c>
      <c r="G374" s="3">
        <v>50</v>
      </c>
      <c r="H374" s="3">
        <v>0</v>
      </c>
      <c r="I374" s="3" t="s">
        <v>16</v>
      </c>
      <c r="J374" s="3">
        <v>48</v>
      </c>
      <c r="K374" s="3">
        <v>36</v>
      </c>
      <c r="L374" s="3">
        <v>1.0601849999999999</v>
      </c>
      <c r="M374" s="3">
        <v>1.79</v>
      </c>
      <c r="N374" s="3" t="s">
        <v>787</v>
      </c>
      <c r="O374" s="6"/>
    </row>
    <row r="375" spans="1:15" x14ac:dyDescent="0.25">
      <c r="A375" s="3" t="s">
        <v>28</v>
      </c>
      <c r="B375" s="3" t="s">
        <v>786</v>
      </c>
      <c r="C375" s="3" t="s">
        <v>19</v>
      </c>
      <c r="D375" s="3">
        <v>375</v>
      </c>
      <c r="E375" s="3">
        <v>4</v>
      </c>
      <c r="F375" s="3">
        <v>6000</v>
      </c>
      <c r="G375" s="3">
        <v>50</v>
      </c>
      <c r="H375" s="3">
        <v>0</v>
      </c>
      <c r="I375" s="3" t="s">
        <v>16</v>
      </c>
      <c r="J375" s="3">
        <v>48</v>
      </c>
      <c r="K375" s="3">
        <v>36</v>
      </c>
      <c r="L375" s="3">
        <v>1.3169999999999999</v>
      </c>
      <c r="M375" s="3">
        <v>1.79</v>
      </c>
      <c r="N375" s="3" t="s">
        <v>788</v>
      </c>
      <c r="O375" s="6"/>
    </row>
    <row r="376" spans="1:15" x14ac:dyDescent="0.25">
      <c r="A376" s="3" t="s">
        <v>28</v>
      </c>
      <c r="B376" s="3" t="s">
        <v>789</v>
      </c>
      <c r="C376" s="3" t="s">
        <v>19</v>
      </c>
      <c r="D376" s="3">
        <v>375</v>
      </c>
      <c r="E376" s="3">
        <v>4</v>
      </c>
      <c r="F376" s="3">
        <v>3300</v>
      </c>
      <c r="G376" s="3">
        <v>50</v>
      </c>
      <c r="H376" s="3">
        <v>1</v>
      </c>
      <c r="I376" s="3" t="s">
        <v>16</v>
      </c>
      <c r="J376" s="3">
        <v>48</v>
      </c>
      <c r="K376" s="3">
        <v>36</v>
      </c>
      <c r="L376" s="3">
        <v>1.3169999999999999</v>
      </c>
      <c r="M376" s="3">
        <v>1.79</v>
      </c>
      <c r="N376" s="3" t="s">
        <v>790</v>
      </c>
      <c r="O376" s="6"/>
    </row>
    <row r="377" spans="1:15" x14ac:dyDescent="0.25">
      <c r="A377" s="3" t="s">
        <v>28</v>
      </c>
      <c r="B377" s="3" t="s">
        <v>789</v>
      </c>
      <c r="C377" s="3" t="s">
        <v>30</v>
      </c>
      <c r="D377" s="3">
        <v>250</v>
      </c>
      <c r="E377" s="3">
        <v>4</v>
      </c>
      <c r="F377" s="3">
        <v>3300</v>
      </c>
      <c r="G377" s="3">
        <v>50</v>
      </c>
      <c r="H377" s="3">
        <v>1</v>
      </c>
      <c r="I377" s="3" t="s">
        <v>16</v>
      </c>
      <c r="J377" s="3">
        <v>48</v>
      </c>
      <c r="K377" s="3">
        <v>38</v>
      </c>
      <c r="L377" s="3">
        <v>0</v>
      </c>
      <c r="M377" s="3">
        <v>1.79</v>
      </c>
      <c r="N377" s="3" t="s">
        <v>791</v>
      </c>
      <c r="O377" s="6"/>
    </row>
    <row r="378" spans="1:15" x14ac:dyDescent="0.25">
      <c r="A378" s="3" t="s">
        <v>13</v>
      </c>
      <c r="B378" s="3" t="s">
        <v>792</v>
      </c>
      <c r="C378" s="3" t="s">
        <v>56</v>
      </c>
      <c r="D378" s="3">
        <v>315</v>
      </c>
      <c r="E378" s="3">
        <v>4</v>
      </c>
      <c r="F378" s="3">
        <v>3300</v>
      </c>
      <c r="G378" s="3">
        <v>50</v>
      </c>
      <c r="H378" s="3">
        <v>0</v>
      </c>
      <c r="I378" s="3" t="s">
        <v>16</v>
      </c>
      <c r="J378" s="3">
        <v>48</v>
      </c>
      <c r="K378" s="3">
        <v>38</v>
      </c>
      <c r="L378" s="3">
        <v>0</v>
      </c>
      <c r="M378" s="3">
        <v>1.79</v>
      </c>
      <c r="N378" s="3" t="s">
        <v>793</v>
      </c>
      <c r="O378" s="6"/>
    </row>
    <row r="379" spans="1:15" x14ac:dyDescent="0.25">
      <c r="A379" s="3" t="s">
        <v>13</v>
      </c>
      <c r="B379" s="3" t="s">
        <v>794</v>
      </c>
      <c r="C379" s="3" t="s">
        <v>30</v>
      </c>
      <c r="D379" s="3">
        <v>275</v>
      </c>
      <c r="E379" s="3">
        <v>4</v>
      </c>
      <c r="F379" s="3">
        <v>3300</v>
      </c>
      <c r="G379" s="3">
        <v>50</v>
      </c>
      <c r="H379" s="3">
        <v>0</v>
      </c>
      <c r="I379" s="3" t="s">
        <v>16</v>
      </c>
      <c r="J379" s="3">
        <v>48</v>
      </c>
      <c r="K379" s="3">
        <v>38</v>
      </c>
      <c r="L379" s="3">
        <v>0</v>
      </c>
      <c r="M379" s="3">
        <v>1.75</v>
      </c>
      <c r="N379" s="3" t="s">
        <v>795</v>
      </c>
      <c r="O379" s="6"/>
    </row>
    <row r="380" spans="1:15" x14ac:dyDescent="0.25">
      <c r="A380" s="3" t="s">
        <v>13</v>
      </c>
      <c r="B380" s="3" t="s">
        <v>796</v>
      </c>
      <c r="C380" s="3" t="s">
        <v>30</v>
      </c>
      <c r="D380" s="3">
        <v>260</v>
      </c>
      <c r="E380" s="3">
        <v>4</v>
      </c>
      <c r="F380" s="3">
        <v>3300</v>
      </c>
      <c r="G380" s="3">
        <v>50</v>
      </c>
      <c r="H380" s="3">
        <v>0</v>
      </c>
      <c r="I380" s="3" t="s">
        <v>16</v>
      </c>
      <c r="J380" s="3">
        <v>48</v>
      </c>
      <c r="K380" s="3">
        <v>38</v>
      </c>
      <c r="L380" s="3">
        <v>0</v>
      </c>
      <c r="M380" s="3">
        <v>1.79</v>
      </c>
      <c r="N380" s="3" t="s">
        <v>797</v>
      </c>
      <c r="O380" s="6"/>
    </row>
    <row r="381" spans="1:15" x14ac:dyDescent="0.25">
      <c r="A381" s="3" t="s">
        <v>21</v>
      </c>
      <c r="B381" s="3" t="s">
        <v>798</v>
      </c>
      <c r="C381" s="3" t="s">
        <v>799</v>
      </c>
      <c r="D381" s="3">
        <v>450</v>
      </c>
      <c r="E381" s="3">
        <v>4</v>
      </c>
      <c r="F381" s="3">
        <v>6600</v>
      </c>
      <c r="G381" s="3">
        <v>50</v>
      </c>
      <c r="H381" s="3">
        <v>0</v>
      </c>
      <c r="I381" s="3" t="s">
        <v>16</v>
      </c>
      <c r="J381" s="3">
        <v>48</v>
      </c>
      <c r="K381" s="3">
        <v>38</v>
      </c>
      <c r="L381" s="3">
        <v>0</v>
      </c>
      <c r="M381" s="3">
        <v>1.79</v>
      </c>
      <c r="N381" s="3" t="s">
        <v>800</v>
      </c>
      <c r="O381" s="6"/>
    </row>
    <row r="382" spans="1:15" x14ac:dyDescent="0.25">
      <c r="A382" s="3" t="s">
        <v>28</v>
      </c>
      <c r="B382" s="3" t="s">
        <v>801</v>
      </c>
      <c r="C382" s="3" t="s">
        <v>56</v>
      </c>
      <c r="D382" s="3">
        <v>400</v>
      </c>
      <c r="E382" s="3">
        <v>4</v>
      </c>
      <c r="F382" s="3">
        <v>400</v>
      </c>
      <c r="G382" s="3">
        <v>50</v>
      </c>
      <c r="H382" s="3">
        <v>0</v>
      </c>
      <c r="I382" s="3" t="s">
        <v>16</v>
      </c>
      <c r="J382" s="3">
        <v>48</v>
      </c>
      <c r="K382" s="3">
        <v>36</v>
      </c>
      <c r="L382" s="3">
        <v>1.06</v>
      </c>
      <c r="M382" s="3">
        <v>1.79</v>
      </c>
      <c r="N382" s="3" t="s">
        <v>802</v>
      </c>
      <c r="O382" s="6"/>
    </row>
    <row r="383" spans="1:15" x14ac:dyDescent="0.25">
      <c r="A383" s="3" t="s">
        <v>13</v>
      </c>
      <c r="B383" s="3" t="s">
        <v>803</v>
      </c>
      <c r="C383" s="3" t="s">
        <v>89</v>
      </c>
      <c r="D383" s="3">
        <v>325</v>
      </c>
      <c r="E383" s="3">
        <v>10</v>
      </c>
      <c r="F383" s="3">
        <v>6600</v>
      </c>
      <c r="G383" s="3">
        <v>50</v>
      </c>
      <c r="H383" s="3">
        <v>0</v>
      </c>
      <c r="I383" s="3" t="s">
        <v>16</v>
      </c>
      <c r="J383" s="3">
        <v>90</v>
      </c>
      <c r="K383" s="3">
        <v>74</v>
      </c>
      <c r="L383" s="3">
        <v>0</v>
      </c>
      <c r="M383" s="3">
        <v>1.79</v>
      </c>
      <c r="N383" s="3" t="s">
        <v>804</v>
      </c>
      <c r="O383" s="6"/>
    </row>
    <row r="384" spans="1:15" x14ac:dyDescent="0.25">
      <c r="A384" s="3" t="s">
        <v>21</v>
      </c>
      <c r="B384" s="3" t="s">
        <v>805</v>
      </c>
      <c r="C384" s="3" t="s">
        <v>806</v>
      </c>
      <c r="D384" s="3">
        <v>400</v>
      </c>
      <c r="E384" s="3">
        <v>8</v>
      </c>
      <c r="F384" s="3">
        <v>525</v>
      </c>
      <c r="G384" s="3">
        <v>50</v>
      </c>
      <c r="H384" s="3">
        <v>0</v>
      </c>
      <c r="I384" s="3" t="s">
        <v>215</v>
      </c>
      <c r="J384" s="3">
        <v>72</v>
      </c>
      <c r="K384" s="3">
        <v>56</v>
      </c>
      <c r="L384" s="3">
        <v>0</v>
      </c>
      <c r="M384" s="3">
        <v>2.94</v>
      </c>
      <c r="N384" s="3" t="s">
        <v>807</v>
      </c>
      <c r="O384" s="6"/>
    </row>
    <row r="385" spans="1:15" x14ac:dyDescent="0.25">
      <c r="A385" s="3" t="s">
        <v>21</v>
      </c>
      <c r="B385" s="3" t="s">
        <v>805</v>
      </c>
      <c r="C385" s="3" t="s">
        <v>73</v>
      </c>
      <c r="D385" s="3">
        <v>400</v>
      </c>
      <c r="E385" s="3">
        <v>8</v>
      </c>
      <c r="F385" s="3">
        <v>525</v>
      </c>
      <c r="G385" s="3">
        <v>50</v>
      </c>
      <c r="H385" s="3">
        <v>0</v>
      </c>
      <c r="I385" s="3" t="s">
        <v>16</v>
      </c>
      <c r="J385" s="3">
        <v>72</v>
      </c>
      <c r="K385" s="3">
        <v>56</v>
      </c>
      <c r="L385" s="3">
        <v>0</v>
      </c>
      <c r="M385" s="3">
        <v>2.94</v>
      </c>
      <c r="N385" s="3" t="s">
        <v>808</v>
      </c>
      <c r="O385" s="6"/>
    </row>
    <row r="386" spans="1:15" x14ac:dyDescent="0.25">
      <c r="A386" s="3" t="s">
        <v>28</v>
      </c>
      <c r="B386" s="3" t="s">
        <v>809</v>
      </c>
      <c r="C386" s="3" t="s">
        <v>19</v>
      </c>
      <c r="D386" s="3">
        <v>400</v>
      </c>
      <c r="E386" s="3">
        <v>4</v>
      </c>
      <c r="F386" s="3">
        <v>3300</v>
      </c>
      <c r="G386" s="3">
        <v>50</v>
      </c>
      <c r="H386" s="3">
        <v>0</v>
      </c>
      <c r="I386" s="3" t="s">
        <v>215</v>
      </c>
      <c r="J386" s="3">
        <v>48</v>
      </c>
      <c r="K386" s="3">
        <v>38</v>
      </c>
      <c r="L386" s="3">
        <v>0</v>
      </c>
      <c r="M386" s="3">
        <v>1.79</v>
      </c>
      <c r="N386" s="3" t="s">
        <v>810</v>
      </c>
      <c r="O386" s="6"/>
    </row>
    <row r="387" spans="1:15" x14ac:dyDescent="0.25">
      <c r="A387" s="3" t="s">
        <v>13</v>
      </c>
      <c r="B387" s="3" t="s">
        <v>811</v>
      </c>
      <c r="C387" s="3" t="s">
        <v>64</v>
      </c>
      <c r="D387" s="3">
        <v>630</v>
      </c>
      <c r="E387" s="3">
        <v>4</v>
      </c>
      <c r="F387" s="3">
        <v>3300</v>
      </c>
      <c r="G387" s="3">
        <v>50</v>
      </c>
      <c r="H387" s="3">
        <v>1</v>
      </c>
      <c r="I387" s="3" t="s">
        <v>16</v>
      </c>
      <c r="J387" s="3">
        <v>48</v>
      </c>
      <c r="K387" s="3">
        <v>38</v>
      </c>
      <c r="L387" s="3">
        <v>0</v>
      </c>
      <c r="M387" s="3">
        <v>1.79</v>
      </c>
      <c r="N387" s="3" t="s">
        <v>812</v>
      </c>
      <c r="O387" s="6"/>
    </row>
    <row r="388" spans="1:15" x14ac:dyDescent="0.25">
      <c r="A388" s="3" t="s">
        <v>13</v>
      </c>
      <c r="B388" s="3" t="s">
        <v>813</v>
      </c>
      <c r="C388" s="3" t="s">
        <v>110</v>
      </c>
      <c r="D388" s="3">
        <v>110</v>
      </c>
      <c r="E388" s="3">
        <v>4</v>
      </c>
      <c r="F388" s="3">
        <v>3300</v>
      </c>
      <c r="G388" s="3">
        <v>50</v>
      </c>
      <c r="H388" s="3">
        <v>1</v>
      </c>
      <c r="I388" s="3" t="s">
        <v>16</v>
      </c>
      <c r="J388" s="3">
        <v>48</v>
      </c>
      <c r="K388" s="3">
        <v>38</v>
      </c>
      <c r="L388" s="3">
        <v>0</v>
      </c>
      <c r="M388" s="3">
        <v>1.79</v>
      </c>
      <c r="N388" s="3" t="s">
        <v>814</v>
      </c>
      <c r="O388" s="6"/>
    </row>
    <row r="389" spans="1:15" x14ac:dyDescent="0.25">
      <c r="A389" s="3" t="s">
        <v>13</v>
      </c>
      <c r="B389" s="3" t="s">
        <v>815</v>
      </c>
      <c r="C389" s="3" t="s">
        <v>73</v>
      </c>
      <c r="D389" s="3">
        <v>350</v>
      </c>
      <c r="E389" s="3">
        <v>8</v>
      </c>
      <c r="F389" s="3">
        <v>6600</v>
      </c>
      <c r="G389" s="3">
        <v>50</v>
      </c>
      <c r="H389" s="3">
        <v>1</v>
      </c>
      <c r="I389" s="3" t="s">
        <v>16</v>
      </c>
      <c r="J389" s="3">
        <v>72</v>
      </c>
      <c r="K389" s="3">
        <v>56</v>
      </c>
      <c r="L389" s="3">
        <v>0</v>
      </c>
      <c r="M389" s="3">
        <v>1.79</v>
      </c>
      <c r="N389" s="3" t="s">
        <v>816</v>
      </c>
      <c r="O389" s="6"/>
    </row>
    <row r="390" spans="1:15" x14ac:dyDescent="0.25">
      <c r="A390" s="3" t="s">
        <v>46</v>
      </c>
      <c r="B390" s="3" t="s">
        <v>817</v>
      </c>
      <c r="C390" s="3" t="s">
        <v>92</v>
      </c>
      <c r="D390" s="3">
        <v>525</v>
      </c>
      <c r="E390" s="3">
        <v>2</v>
      </c>
      <c r="F390" s="3">
        <v>3300</v>
      </c>
      <c r="G390" s="3">
        <v>50</v>
      </c>
      <c r="H390" s="3">
        <v>0</v>
      </c>
      <c r="I390" s="3" t="s">
        <v>16</v>
      </c>
      <c r="J390" s="3">
        <v>48</v>
      </c>
      <c r="K390" s="3">
        <v>40</v>
      </c>
      <c r="L390" s="3">
        <v>0</v>
      </c>
      <c r="M390" s="3">
        <v>1.79</v>
      </c>
      <c r="N390" s="3" t="s">
        <v>818</v>
      </c>
      <c r="O390" s="6"/>
    </row>
    <row r="391" spans="1:15" x14ac:dyDescent="0.25">
      <c r="A391" s="3" t="s">
        <v>13</v>
      </c>
      <c r="B391" s="3" t="s">
        <v>819</v>
      </c>
      <c r="C391" s="3" t="s">
        <v>61</v>
      </c>
      <c r="D391" s="3">
        <v>560</v>
      </c>
      <c r="E391" s="3">
        <v>4</v>
      </c>
      <c r="F391" s="3">
        <v>3300</v>
      </c>
      <c r="G391" s="3">
        <v>50</v>
      </c>
      <c r="H391" s="3">
        <v>1</v>
      </c>
      <c r="I391" s="3" t="s">
        <v>16</v>
      </c>
      <c r="J391" s="3">
        <v>48</v>
      </c>
      <c r="K391" s="3">
        <v>38</v>
      </c>
      <c r="L391" s="3">
        <v>0</v>
      </c>
      <c r="M391" s="3">
        <v>1.79</v>
      </c>
      <c r="N391" s="3" t="s">
        <v>820</v>
      </c>
      <c r="O391" s="6"/>
    </row>
    <row r="392" spans="1:15" x14ac:dyDescent="0.25">
      <c r="A392" s="3" t="s">
        <v>21</v>
      </c>
      <c r="B392" s="3" t="s">
        <v>821</v>
      </c>
      <c r="C392" s="3" t="s">
        <v>56</v>
      </c>
      <c r="D392" s="3">
        <v>330</v>
      </c>
      <c r="E392" s="3">
        <v>4</v>
      </c>
      <c r="F392" s="3">
        <v>3300</v>
      </c>
      <c r="G392" s="3">
        <v>50</v>
      </c>
      <c r="H392" s="3">
        <v>1</v>
      </c>
      <c r="I392" s="3" t="s">
        <v>16</v>
      </c>
      <c r="J392" s="3">
        <v>48</v>
      </c>
      <c r="K392" s="3">
        <v>38</v>
      </c>
      <c r="L392" s="3">
        <v>0</v>
      </c>
      <c r="M392" s="3">
        <v>1.79</v>
      </c>
      <c r="N392" s="3" t="s">
        <v>822</v>
      </c>
      <c r="O392" s="6"/>
    </row>
    <row r="393" spans="1:15" x14ac:dyDescent="0.25">
      <c r="A393" s="3" t="s">
        <v>46</v>
      </c>
      <c r="B393" s="3" t="s">
        <v>823</v>
      </c>
      <c r="C393" s="3" t="s">
        <v>30</v>
      </c>
      <c r="D393" s="3">
        <v>250</v>
      </c>
      <c r="E393" s="3">
        <v>4</v>
      </c>
      <c r="F393" s="3">
        <v>3300</v>
      </c>
      <c r="G393" s="3">
        <v>50</v>
      </c>
      <c r="H393" s="3">
        <v>1</v>
      </c>
      <c r="I393" s="3" t="s">
        <v>16</v>
      </c>
      <c r="J393" s="3">
        <v>48</v>
      </c>
      <c r="K393" s="3">
        <v>38</v>
      </c>
      <c r="L393" s="3">
        <v>0</v>
      </c>
      <c r="M393" s="3">
        <v>1.79</v>
      </c>
      <c r="N393" s="3" t="s">
        <v>824</v>
      </c>
      <c r="O393" s="6"/>
    </row>
    <row r="394" spans="1:15" x14ac:dyDescent="0.25">
      <c r="A394" s="3" t="s">
        <v>21</v>
      </c>
      <c r="B394" s="3" t="s">
        <v>825</v>
      </c>
      <c r="C394" s="3" t="s">
        <v>207</v>
      </c>
      <c r="D394" s="3">
        <v>200</v>
      </c>
      <c r="E394" s="3">
        <v>4</v>
      </c>
      <c r="F394" s="3">
        <v>3300</v>
      </c>
      <c r="G394" s="3">
        <v>50</v>
      </c>
      <c r="H394" s="3">
        <v>1</v>
      </c>
      <c r="I394" s="3" t="s">
        <v>16</v>
      </c>
      <c r="J394" s="3">
        <v>48</v>
      </c>
      <c r="K394" s="3">
        <v>38</v>
      </c>
      <c r="L394" s="3">
        <v>0</v>
      </c>
      <c r="M394" s="3">
        <v>1.79</v>
      </c>
      <c r="N394" s="3" t="s">
        <v>826</v>
      </c>
      <c r="O394" s="6"/>
    </row>
    <row r="395" spans="1:15" x14ac:dyDescent="0.25">
      <c r="A395" s="3" t="s">
        <v>28</v>
      </c>
      <c r="B395" s="3" t="s">
        <v>827</v>
      </c>
      <c r="C395" s="3" t="s">
        <v>146</v>
      </c>
      <c r="D395" s="3">
        <v>450</v>
      </c>
      <c r="E395" s="3">
        <v>4</v>
      </c>
      <c r="F395" s="3">
        <v>380</v>
      </c>
      <c r="G395" s="3">
        <v>50</v>
      </c>
      <c r="H395" s="3">
        <v>0</v>
      </c>
      <c r="I395" s="3" t="s">
        <v>16</v>
      </c>
      <c r="J395" s="3">
        <v>48</v>
      </c>
      <c r="K395" s="3">
        <v>38</v>
      </c>
      <c r="L395" s="3">
        <v>0</v>
      </c>
      <c r="M395" s="3">
        <v>2.33</v>
      </c>
      <c r="N395" s="3" t="s">
        <v>828</v>
      </c>
      <c r="O395" s="6"/>
    </row>
    <row r="396" spans="1:15" x14ac:dyDescent="0.25">
      <c r="A396" s="3" t="s">
        <v>21</v>
      </c>
      <c r="B396" s="3" t="s">
        <v>829</v>
      </c>
      <c r="C396" s="3" t="s">
        <v>830</v>
      </c>
      <c r="D396" s="3">
        <v>710</v>
      </c>
      <c r="E396" s="3">
        <v>4</v>
      </c>
      <c r="F396" s="3">
        <v>6600</v>
      </c>
      <c r="G396" s="3">
        <v>50</v>
      </c>
      <c r="H396" s="3">
        <v>1</v>
      </c>
      <c r="I396" s="3" t="s">
        <v>16</v>
      </c>
      <c r="J396" s="3">
        <v>48</v>
      </c>
      <c r="K396" s="3">
        <v>38</v>
      </c>
      <c r="L396" s="3">
        <v>0</v>
      </c>
      <c r="M396" s="3">
        <v>1.79</v>
      </c>
      <c r="N396" s="3" t="s">
        <v>831</v>
      </c>
      <c r="O396" s="6"/>
    </row>
    <row r="397" spans="1:15" x14ac:dyDescent="0.25">
      <c r="A397" s="3" t="s">
        <v>21</v>
      </c>
      <c r="B397" s="3" t="s">
        <v>832</v>
      </c>
      <c r="C397" s="3" t="s">
        <v>830</v>
      </c>
      <c r="D397" s="3">
        <v>780</v>
      </c>
      <c r="E397" s="3">
        <v>4</v>
      </c>
      <c r="F397" s="3">
        <v>6600</v>
      </c>
      <c r="G397" s="3">
        <v>50</v>
      </c>
      <c r="H397" s="3">
        <v>1</v>
      </c>
      <c r="I397" s="3" t="s">
        <v>16</v>
      </c>
      <c r="J397" s="3">
        <v>48</v>
      </c>
      <c r="K397" s="3">
        <v>38</v>
      </c>
      <c r="L397" s="3">
        <v>0</v>
      </c>
      <c r="M397" s="3">
        <v>1.79</v>
      </c>
      <c r="N397" s="3" t="s">
        <v>833</v>
      </c>
      <c r="O397" s="6"/>
    </row>
    <row r="398" spans="1:15" x14ac:dyDescent="0.25">
      <c r="A398" s="3" t="s">
        <v>46</v>
      </c>
      <c r="B398" s="3" t="s">
        <v>834</v>
      </c>
      <c r="C398" s="3" t="s">
        <v>73</v>
      </c>
      <c r="D398" s="3">
        <v>630</v>
      </c>
      <c r="E398" s="3">
        <v>4</v>
      </c>
      <c r="F398" s="3">
        <v>6600</v>
      </c>
      <c r="G398" s="3">
        <v>50</v>
      </c>
      <c r="H398" s="3">
        <v>1</v>
      </c>
      <c r="I398" s="3" t="s">
        <v>16</v>
      </c>
      <c r="J398" s="3">
        <v>48</v>
      </c>
      <c r="K398" s="3">
        <v>38</v>
      </c>
      <c r="L398" s="3">
        <v>0</v>
      </c>
      <c r="M398" s="3">
        <v>1.79</v>
      </c>
      <c r="N398" s="3" t="s">
        <v>835</v>
      </c>
      <c r="O398" s="6"/>
    </row>
    <row r="399" spans="1:15" x14ac:dyDescent="0.25">
      <c r="A399" s="3" t="s">
        <v>13</v>
      </c>
      <c r="B399" s="3" t="s">
        <v>836</v>
      </c>
      <c r="C399" s="3" t="s">
        <v>73</v>
      </c>
      <c r="D399" s="3">
        <v>600</v>
      </c>
      <c r="E399" s="3">
        <v>6</v>
      </c>
      <c r="F399" s="3">
        <v>3300</v>
      </c>
      <c r="G399" s="3">
        <v>50</v>
      </c>
      <c r="H399" s="3">
        <v>1</v>
      </c>
      <c r="I399" s="3" t="s">
        <v>16</v>
      </c>
      <c r="J399" s="3">
        <v>54</v>
      </c>
      <c r="K399" s="3">
        <v>40</v>
      </c>
      <c r="L399" s="3">
        <v>0</v>
      </c>
      <c r="M399" s="3">
        <v>1.79</v>
      </c>
      <c r="N399" s="3" t="s">
        <v>837</v>
      </c>
      <c r="O399" s="6"/>
    </row>
    <row r="400" spans="1:15" x14ac:dyDescent="0.25">
      <c r="A400" s="3" t="s">
        <v>46</v>
      </c>
      <c r="B400" s="3" t="s">
        <v>838</v>
      </c>
      <c r="C400" s="3" t="s">
        <v>56</v>
      </c>
      <c r="D400" s="3">
        <v>310</v>
      </c>
      <c r="E400" s="3">
        <v>4</v>
      </c>
      <c r="F400" s="3">
        <v>3300</v>
      </c>
      <c r="G400" s="3">
        <v>50</v>
      </c>
      <c r="H400" s="3">
        <v>0</v>
      </c>
      <c r="I400" s="3" t="s">
        <v>16</v>
      </c>
      <c r="J400" s="3">
        <v>48</v>
      </c>
      <c r="K400" s="3">
        <v>36</v>
      </c>
      <c r="L400" s="3">
        <v>0</v>
      </c>
      <c r="M400" s="3">
        <v>1.79</v>
      </c>
      <c r="N400" s="3" t="s">
        <v>839</v>
      </c>
      <c r="O400" s="6"/>
    </row>
    <row r="401" spans="1:15" x14ac:dyDescent="0.25">
      <c r="A401" s="3" t="s">
        <v>28</v>
      </c>
      <c r="B401" s="3" t="s">
        <v>840</v>
      </c>
      <c r="C401" s="3" t="s">
        <v>19</v>
      </c>
      <c r="D401" s="3">
        <v>355</v>
      </c>
      <c r="E401" s="3">
        <v>4</v>
      </c>
      <c r="F401" s="3">
        <v>6600</v>
      </c>
      <c r="G401" s="3">
        <v>50</v>
      </c>
      <c r="H401" s="3">
        <v>1</v>
      </c>
      <c r="I401" s="3" t="s">
        <v>16</v>
      </c>
      <c r="J401" s="3">
        <v>48</v>
      </c>
      <c r="K401" s="3">
        <v>36</v>
      </c>
      <c r="L401" s="3">
        <v>1.3169999999999999</v>
      </c>
      <c r="M401" s="3">
        <v>1.79</v>
      </c>
      <c r="N401" s="3" t="s">
        <v>841</v>
      </c>
      <c r="O401" s="6"/>
    </row>
    <row r="402" spans="1:15" x14ac:dyDescent="0.25">
      <c r="A402" s="3" t="s">
        <v>21</v>
      </c>
      <c r="B402" s="3" t="s">
        <v>842</v>
      </c>
      <c r="C402" s="3" t="s">
        <v>146</v>
      </c>
      <c r="D402" s="3">
        <v>450</v>
      </c>
      <c r="E402" s="3">
        <v>4</v>
      </c>
      <c r="F402" s="3">
        <v>6600</v>
      </c>
      <c r="G402" s="3">
        <v>50</v>
      </c>
      <c r="H402" s="3">
        <v>1</v>
      </c>
      <c r="I402" s="3" t="s">
        <v>16</v>
      </c>
      <c r="J402" s="3">
        <v>48</v>
      </c>
      <c r="K402" s="3">
        <v>38</v>
      </c>
      <c r="L402" s="3">
        <v>0</v>
      </c>
      <c r="M402" s="3">
        <v>1.79</v>
      </c>
      <c r="N402" s="3" t="s">
        <v>843</v>
      </c>
      <c r="O402" s="6"/>
    </row>
    <row r="403" spans="1:15" x14ac:dyDescent="0.25">
      <c r="A403" s="3" t="s">
        <v>46</v>
      </c>
      <c r="B403" s="3" t="s">
        <v>844</v>
      </c>
      <c r="C403" s="3" t="s">
        <v>64</v>
      </c>
      <c r="D403" s="3">
        <v>630</v>
      </c>
      <c r="E403" s="3">
        <v>4</v>
      </c>
      <c r="F403" s="3">
        <v>6600</v>
      </c>
      <c r="G403" s="3">
        <v>50</v>
      </c>
      <c r="H403" s="3">
        <v>1</v>
      </c>
      <c r="I403" s="3" t="s">
        <v>16</v>
      </c>
      <c r="J403" s="3">
        <v>48</v>
      </c>
      <c r="K403" s="3">
        <v>38</v>
      </c>
      <c r="L403" s="3">
        <v>0</v>
      </c>
      <c r="M403" s="3">
        <v>1.79</v>
      </c>
      <c r="N403" s="3" t="s">
        <v>845</v>
      </c>
      <c r="O403" s="6"/>
    </row>
    <row r="404" spans="1:15" x14ac:dyDescent="0.25">
      <c r="A404" s="3" t="s">
        <v>13</v>
      </c>
      <c r="B404" s="3" t="s">
        <v>846</v>
      </c>
      <c r="C404" s="3" t="s">
        <v>56</v>
      </c>
      <c r="D404" s="3">
        <v>280</v>
      </c>
      <c r="E404" s="3">
        <v>4</v>
      </c>
      <c r="F404" s="3">
        <v>6600</v>
      </c>
      <c r="G404" s="3">
        <v>50</v>
      </c>
      <c r="H404" s="3">
        <v>1</v>
      </c>
      <c r="I404" s="3" t="s">
        <v>16</v>
      </c>
      <c r="J404" s="3">
        <v>48</v>
      </c>
      <c r="K404" s="3">
        <v>36</v>
      </c>
      <c r="L404" s="3">
        <v>1.0601849999999999</v>
      </c>
      <c r="M404" s="3">
        <v>1.79</v>
      </c>
      <c r="N404" s="3" t="s">
        <v>847</v>
      </c>
      <c r="O404" s="6"/>
    </row>
    <row r="405" spans="1:15" x14ac:dyDescent="0.25">
      <c r="A405" s="3" t="s">
        <v>13</v>
      </c>
      <c r="B405" s="3" t="s">
        <v>848</v>
      </c>
      <c r="C405" s="3" t="s">
        <v>30</v>
      </c>
      <c r="D405" s="3">
        <v>200</v>
      </c>
      <c r="E405" s="3">
        <v>4</v>
      </c>
      <c r="F405" s="3">
        <v>6600</v>
      </c>
      <c r="G405" s="3">
        <v>50</v>
      </c>
      <c r="H405" s="3">
        <v>1</v>
      </c>
      <c r="I405" s="3" t="s">
        <v>16</v>
      </c>
      <c r="J405" s="3">
        <v>48</v>
      </c>
      <c r="K405" s="3">
        <v>38</v>
      </c>
      <c r="L405" s="3">
        <v>0</v>
      </c>
      <c r="M405" s="3">
        <v>1.79</v>
      </c>
      <c r="N405" s="3" t="s">
        <v>849</v>
      </c>
      <c r="O405" s="6"/>
    </row>
    <row r="406" spans="1:15" x14ac:dyDescent="0.25">
      <c r="A406" s="3" t="s">
        <v>21</v>
      </c>
      <c r="B406" s="3" t="s">
        <v>850</v>
      </c>
      <c r="C406" s="3" t="s">
        <v>15</v>
      </c>
      <c r="D406" s="3">
        <v>560</v>
      </c>
      <c r="E406" s="3">
        <v>4</v>
      </c>
      <c r="F406" s="3">
        <v>6000</v>
      </c>
      <c r="G406" s="3">
        <v>50</v>
      </c>
      <c r="H406" s="3">
        <v>0</v>
      </c>
      <c r="I406" s="3" t="s">
        <v>16</v>
      </c>
      <c r="J406" s="3">
        <v>48</v>
      </c>
      <c r="K406" s="3">
        <v>38</v>
      </c>
      <c r="L406" s="3">
        <v>0</v>
      </c>
      <c r="M406" s="3">
        <v>1.79</v>
      </c>
      <c r="N406" s="3" t="s">
        <v>851</v>
      </c>
      <c r="O406" s="6"/>
    </row>
    <row r="407" spans="1:15" x14ac:dyDescent="0.25">
      <c r="A407" s="3" t="s">
        <v>46</v>
      </c>
      <c r="B407" s="3" t="s">
        <v>852</v>
      </c>
      <c r="C407" s="3" t="s">
        <v>56</v>
      </c>
      <c r="D407" s="3">
        <v>315</v>
      </c>
      <c r="E407" s="3">
        <v>4</v>
      </c>
      <c r="F407" s="3">
        <v>6000</v>
      </c>
      <c r="G407" s="3">
        <v>50</v>
      </c>
      <c r="H407" s="3">
        <v>0</v>
      </c>
      <c r="I407" s="3" t="s">
        <v>16</v>
      </c>
      <c r="J407" s="3">
        <v>48</v>
      </c>
      <c r="K407" s="3">
        <v>36</v>
      </c>
      <c r="L407" s="3">
        <v>1.0601849999999999</v>
      </c>
      <c r="M407" s="3">
        <v>1.79</v>
      </c>
      <c r="N407" s="3" t="s">
        <v>853</v>
      </c>
      <c r="O407" s="6"/>
    </row>
    <row r="408" spans="1:15" x14ac:dyDescent="0.25">
      <c r="A408" s="3" t="s">
        <v>28</v>
      </c>
      <c r="B408" s="3" t="s">
        <v>854</v>
      </c>
      <c r="C408" s="3" t="s">
        <v>163</v>
      </c>
      <c r="D408" s="3">
        <v>920</v>
      </c>
      <c r="E408" s="3">
        <v>6</v>
      </c>
      <c r="F408" s="3">
        <v>11000</v>
      </c>
      <c r="G408" s="3">
        <v>50</v>
      </c>
      <c r="H408" s="3">
        <v>1</v>
      </c>
      <c r="I408" s="3" t="s">
        <v>16</v>
      </c>
      <c r="J408" s="3">
        <v>72</v>
      </c>
      <c r="K408" s="3">
        <v>58</v>
      </c>
      <c r="L408" s="3">
        <v>0</v>
      </c>
      <c r="M408" s="3">
        <v>1.79</v>
      </c>
      <c r="N408" s="3" t="s">
        <v>855</v>
      </c>
      <c r="O408" s="6"/>
    </row>
    <row r="409" spans="1:15" x14ac:dyDescent="0.25">
      <c r="A409" s="3" t="s">
        <v>21</v>
      </c>
      <c r="B409" s="3" t="s">
        <v>856</v>
      </c>
      <c r="C409" s="3" t="s">
        <v>207</v>
      </c>
      <c r="D409" s="3">
        <v>185</v>
      </c>
      <c r="E409" s="3">
        <v>4</v>
      </c>
      <c r="F409" s="3">
        <v>3300</v>
      </c>
      <c r="G409" s="3">
        <v>50</v>
      </c>
      <c r="H409" s="3">
        <v>0</v>
      </c>
      <c r="I409" s="3" t="s">
        <v>16</v>
      </c>
      <c r="J409" s="3">
        <v>48</v>
      </c>
      <c r="K409" s="3">
        <v>38</v>
      </c>
      <c r="L409" s="3">
        <v>0</v>
      </c>
      <c r="M409" s="3">
        <v>1.79</v>
      </c>
      <c r="N409" s="3" t="s">
        <v>857</v>
      </c>
      <c r="O409" s="6"/>
    </row>
    <row r="410" spans="1:15" x14ac:dyDescent="0.25">
      <c r="A410" s="3" t="s">
        <v>13</v>
      </c>
      <c r="B410" s="3" t="s">
        <v>858</v>
      </c>
      <c r="C410" s="3" t="s">
        <v>41</v>
      </c>
      <c r="D410" s="3">
        <v>187</v>
      </c>
      <c r="E410" s="3">
        <v>6</v>
      </c>
      <c r="F410" s="3">
        <v>3300</v>
      </c>
      <c r="G410" s="3">
        <v>50</v>
      </c>
      <c r="H410" s="3">
        <v>0</v>
      </c>
      <c r="I410" s="3" t="s">
        <v>16</v>
      </c>
      <c r="J410" s="3">
        <v>54</v>
      </c>
      <c r="K410" s="3">
        <v>42</v>
      </c>
      <c r="L410" s="3">
        <v>0</v>
      </c>
      <c r="M410" s="3">
        <v>1.79</v>
      </c>
      <c r="N410" s="3" t="s">
        <v>859</v>
      </c>
      <c r="O410" s="6"/>
    </row>
    <row r="411" spans="1:15" x14ac:dyDescent="0.25">
      <c r="A411" s="3" t="s">
        <v>28</v>
      </c>
      <c r="B411" s="3" t="s">
        <v>860</v>
      </c>
      <c r="C411" s="3" t="s">
        <v>19</v>
      </c>
      <c r="D411" s="3">
        <v>355</v>
      </c>
      <c r="E411" s="3">
        <v>4</v>
      </c>
      <c r="F411" s="3">
        <v>3300</v>
      </c>
      <c r="G411" s="3">
        <v>50</v>
      </c>
      <c r="H411" s="3">
        <v>1</v>
      </c>
      <c r="I411" s="3" t="s">
        <v>16</v>
      </c>
      <c r="J411" s="3">
        <v>48</v>
      </c>
      <c r="K411" s="3">
        <v>36</v>
      </c>
      <c r="L411" s="3">
        <v>1.3169999999999999</v>
      </c>
      <c r="M411" s="3">
        <v>1.79</v>
      </c>
      <c r="N411" s="3" t="s">
        <v>861</v>
      </c>
      <c r="O411" s="6"/>
    </row>
    <row r="412" spans="1:15" x14ac:dyDescent="0.25">
      <c r="A412" s="3" t="s">
        <v>21</v>
      </c>
      <c r="B412" s="3" t="s">
        <v>862</v>
      </c>
      <c r="C412" s="3" t="s">
        <v>146</v>
      </c>
      <c r="D412" s="3">
        <v>450</v>
      </c>
      <c r="E412" s="3">
        <v>4</v>
      </c>
      <c r="F412" s="3">
        <v>3300</v>
      </c>
      <c r="G412" s="3">
        <v>50</v>
      </c>
      <c r="H412" s="3">
        <v>1</v>
      </c>
      <c r="I412" s="3" t="s">
        <v>16</v>
      </c>
      <c r="J412" s="3">
        <v>48</v>
      </c>
      <c r="K412" s="3">
        <v>38</v>
      </c>
      <c r="L412" s="3">
        <v>0</v>
      </c>
      <c r="M412" s="3">
        <v>1.79</v>
      </c>
      <c r="N412" s="3" t="s">
        <v>863</v>
      </c>
      <c r="O412" s="6"/>
    </row>
    <row r="413" spans="1:15" x14ac:dyDescent="0.25">
      <c r="A413" s="3" t="s">
        <v>46</v>
      </c>
      <c r="B413" s="3" t="s">
        <v>864</v>
      </c>
      <c r="C413" s="3" t="s">
        <v>61</v>
      </c>
      <c r="D413" s="3">
        <v>630</v>
      </c>
      <c r="E413" s="3">
        <v>4</v>
      </c>
      <c r="F413" s="3">
        <v>3300</v>
      </c>
      <c r="G413" s="3">
        <v>50</v>
      </c>
      <c r="H413" s="3">
        <v>1</v>
      </c>
      <c r="I413" s="3" t="s">
        <v>16</v>
      </c>
      <c r="J413" s="3">
        <v>48</v>
      </c>
      <c r="K413" s="3">
        <v>38</v>
      </c>
      <c r="L413" s="3">
        <v>0</v>
      </c>
      <c r="M413" s="3">
        <v>1.79</v>
      </c>
      <c r="N413" s="3" t="s">
        <v>865</v>
      </c>
      <c r="O413" s="6"/>
    </row>
    <row r="414" spans="1:15" x14ac:dyDescent="0.25">
      <c r="A414" s="3" t="s">
        <v>13</v>
      </c>
      <c r="B414" s="3" t="s">
        <v>866</v>
      </c>
      <c r="C414" s="3" t="s">
        <v>30</v>
      </c>
      <c r="D414" s="3">
        <v>280</v>
      </c>
      <c r="E414" s="3">
        <v>4</v>
      </c>
      <c r="F414" s="3">
        <v>3300</v>
      </c>
      <c r="G414" s="3">
        <v>50</v>
      </c>
      <c r="H414" s="3">
        <v>1</v>
      </c>
      <c r="I414" s="3" t="s">
        <v>16</v>
      </c>
      <c r="J414" s="3">
        <v>48</v>
      </c>
      <c r="K414" s="3">
        <v>38</v>
      </c>
      <c r="L414" s="3">
        <v>0</v>
      </c>
      <c r="M414" s="3">
        <v>1.79</v>
      </c>
      <c r="N414" s="3" t="s">
        <v>867</v>
      </c>
      <c r="O414" s="6"/>
    </row>
    <row r="415" spans="1:15" x14ac:dyDescent="0.25">
      <c r="A415" s="3" t="s">
        <v>13</v>
      </c>
      <c r="B415" s="3" t="s">
        <v>868</v>
      </c>
      <c r="C415" s="3" t="s">
        <v>23</v>
      </c>
      <c r="D415" s="3">
        <v>200</v>
      </c>
      <c r="E415" s="3">
        <v>4</v>
      </c>
      <c r="F415" s="3">
        <v>3300</v>
      </c>
      <c r="G415" s="3">
        <v>50</v>
      </c>
      <c r="H415" s="3">
        <v>1</v>
      </c>
      <c r="I415" s="3" t="s">
        <v>16</v>
      </c>
      <c r="J415" s="3">
        <v>48</v>
      </c>
      <c r="K415" s="3">
        <v>38</v>
      </c>
      <c r="L415" s="3">
        <v>0</v>
      </c>
      <c r="M415" s="3">
        <v>1.79</v>
      </c>
      <c r="N415" s="3" t="s">
        <v>869</v>
      </c>
      <c r="O415" s="6"/>
    </row>
    <row r="416" spans="1:15" x14ac:dyDescent="0.25">
      <c r="A416" s="3" t="s">
        <v>46</v>
      </c>
      <c r="B416" s="3" t="s">
        <v>870</v>
      </c>
      <c r="C416" s="3" t="s">
        <v>30</v>
      </c>
      <c r="D416" s="3">
        <v>300</v>
      </c>
      <c r="E416" s="3">
        <v>4</v>
      </c>
      <c r="F416" s="3">
        <v>3300</v>
      </c>
      <c r="G416" s="3">
        <v>50</v>
      </c>
      <c r="H416" s="3">
        <v>0</v>
      </c>
      <c r="I416" s="3" t="s">
        <v>16</v>
      </c>
      <c r="J416" s="3">
        <v>48</v>
      </c>
      <c r="K416" s="3">
        <v>36</v>
      </c>
      <c r="L416" s="3">
        <v>1.0601849999999999</v>
      </c>
      <c r="M416" s="3">
        <v>1.79</v>
      </c>
      <c r="N416" s="3" t="s">
        <v>871</v>
      </c>
      <c r="O416" s="6"/>
    </row>
    <row r="417" spans="1:15" x14ac:dyDescent="0.25">
      <c r="A417" s="3" t="s">
        <v>21</v>
      </c>
      <c r="B417" s="3" t="s">
        <v>872</v>
      </c>
      <c r="C417" s="3" t="s">
        <v>830</v>
      </c>
      <c r="D417" s="3">
        <v>780</v>
      </c>
      <c r="E417" s="3">
        <v>4</v>
      </c>
      <c r="F417" s="3">
        <v>6600</v>
      </c>
      <c r="G417" s="3">
        <v>50</v>
      </c>
      <c r="H417" s="3">
        <v>1</v>
      </c>
      <c r="I417" s="3" t="s">
        <v>16</v>
      </c>
      <c r="J417" s="3">
        <v>48</v>
      </c>
      <c r="K417" s="3">
        <v>38</v>
      </c>
      <c r="L417" s="3">
        <v>0</v>
      </c>
      <c r="M417" s="3">
        <v>1.79</v>
      </c>
      <c r="N417" s="3" t="s">
        <v>873</v>
      </c>
      <c r="O417" s="6"/>
    </row>
    <row r="418" spans="1:15" x14ac:dyDescent="0.25">
      <c r="A418" s="3" t="s">
        <v>46</v>
      </c>
      <c r="B418" s="3" t="s">
        <v>874</v>
      </c>
      <c r="C418" s="3" t="s">
        <v>38</v>
      </c>
      <c r="D418" s="3">
        <v>250</v>
      </c>
      <c r="E418" s="3">
        <v>6</v>
      </c>
      <c r="F418" s="3">
        <v>6600</v>
      </c>
      <c r="G418" s="3">
        <v>50</v>
      </c>
      <c r="H418" s="3">
        <v>0</v>
      </c>
      <c r="I418" s="3" t="s">
        <v>16</v>
      </c>
      <c r="J418" s="3">
        <v>54</v>
      </c>
      <c r="K418" s="3">
        <v>42</v>
      </c>
      <c r="L418" s="3">
        <v>0</v>
      </c>
      <c r="M418" s="3">
        <v>1.79</v>
      </c>
      <c r="N418" s="3" t="s">
        <v>875</v>
      </c>
      <c r="O418" s="6"/>
    </row>
    <row r="419" spans="1:15" x14ac:dyDescent="0.25">
      <c r="A419" s="3" t="s">
        <v>21</v>
      </c>
      <c r="B419" s="3" t="s">
        <v>876</v>
      </c>
      <c r="C419" s="3" t="s">
        <v>131</v>
      </c>
      <c r="D419" s="3">
        <v>675</v>
      </c>
      <c r="E419" s="3">
        <v>4</v>
      </c>
      <c r="F419" s="3">
        <v>6600</v>
      </c>
      <c r="G419" s="3">
        <v>50</v>
      </c>
      <c r="H419" s="3">
        <v>1</v>
      </c>
      <c r="I419" s="3" t="s">
        <v>16</v>
      </c>
      <c r="J419" s="3">
        <v>48</v>
      </c>
      <c r="K419" s="3">
        <v>38</v>
      </c>
      <c r="L419" s="3">
        <v>0</v>
      </c>
      <c r="M419" s="3">
        <v>1.79</v>
      </c>
      <c r="N419" s="3" t="s">
        <v>877</v>
      </c>
      <c r="O419" s="6"/>
    </row>
    <row r="420" spans="1:15" x14ac:dyDescent="0.25">
      <c r="A420" s="3" t="s">
        <v>13</v>
      </c>
      <c r="B420" s="3" t="s">
        <v>878</v>
      </c>
      <c r="C420" s="3" t="s">
        <v>38</v>
      </c>
      <c r="D420" s="3">
        <v>185</v>
      </c>
      <c r="E420" s="3">
        <v>8</v>
      </c>
      <c r="F420" s="3">
        <v>2300</v>
      </c>
      <c r="G420" s="3">
        <v>60</v>
      </c>
      <c r="H420" s="3">
        <v>0</v>
      </c>
      <c r="I420" s="3" t="s">
        <v>16</v>
      </c>
      <c r="J420" s="3">
        <v>48</v>
      </c>
      <c r="K420" s="3">
        <v>40</v>
      </c>
      <c r="L420" s="3">
        <v>0</v>
      </c>
      <c r="M420" s="3">
        <v>1.79</v>
      </c>
      <c r="N420" s="3" t="s">
        <v>879</v>
      </c>
      <c r="O420" s="6"/>
    </row>
    <row r="421" spans="1:15" x14ac:dyDescent="0.25">
      <c r="A421" s="3" t="s">
        <v>13</v>
      </c>
      <c r="B421" s="3" t="s">
        <v>880</v>
      </c>
      <c r="C421" s="3" t="s">
        <v>146</v>
      </c>
      <c r="D421" s="3">
        <v>450</v>
      </c>
      <c r="E421" s="3">
        <v>4</v>
      </c>
      <c r="F421" s="3">
        <v>3300</v>
      </c>
      <c r="G421" s="3">
        <v>50</v>
      </c>
      <c r="H421" s="3">
        <v>0</v>
      </c>
      <c r="I421" s="3" t="s">
        <v>16</v>
      </c>
      <c r="J421" s="3">
        <v>48</v>
      </c>
      <c r="K421" s="3">
        <v>36</v>
      </c>
      <c r="L421" s="3">
        <v>0</v>
      </c>
      <c r="M421" s="3">
        <v>2.3330000000000002</v>
      </c>
      <c r="N421" s="3" t="s">
        <v>881</v>
      </c>
      <c r="O421" s="6"/>
    </row>
    <row r="422" spans="1:15" x14ac:dyDescent="0.25">
      <c r="A422" s="3" t="s">
        <v>13</v>
      </c>
      <c r="B422" s="3" t="s">
        <v>880</v>
      </c>
      <c r="C422" s="3" t="s">
        <v>146</v>
      </c>
      <c r="D422" s="3">
        <v>450</v>
      </c>
      <c r="E422" s="3">
        <v>4</v>
      </c>
      <c r="F422" s="3">
        <v>3300</v>
      </c>
      <c r="G422" s="3">
        <v>50</v>
      </c>
      <c r="H422" s="3">
        <v>0</v>
      </c>
      <c r="I422" s="3" t="s">
        <v>16</v>
      </c>
      <c r="J422" s="3">
        <v>48</v>
      </c>
      <c r="K422" s="3">
        <v>38</v>
      </c>
      <c r="L422" s="3">
        <v>0</v>
      </c>
      <c r="M422" s="3">
        <v>2.3330000000000002</v>
      </c>
      <c r="N422" s="3" t="s">
        <v>882</v>
      </c>
      <c r="O422" s="6"/>
    </row>
    <row r="423" spans="1:15" x14ac:dyDescent="0.25">
      <c r="A423" s="3" t="s">
        <v>13</v>
      </c>
      <c r="B423" s="3" t="s">
        <v>883</v>
      </c>
      <c r="C423" s="3" t="s">
        <v>15</v>
      </c>
      <c r="D423" s="3">
        <v>185</v>
      </c>
      <c r="E423" s="3">
        <v>10</v>
      </c>
      <c r="F423" s="3">
        <v>460</v>
      </c>
      <c r="G423" s="3">
        <v>60</v>
      </c>
      <c r="H423" s="3">
        <v>0</v>
      </c>
      <c r="I423" s="3" t="s">
        <v>16</v>
      </c>
      <c r="J423" s="3">
        <v>90</v>
      </c>
      <c r="K423" s="3">
        <v>70</v>
      </c>
      <c r="L423" s="3">
        <v>0</v>
      </c>
      <c r="M423" s="3">
        <v>1.79</v>
      </c>
      <c r="N423" s="3" t="s">
        <v>884</v>
      </c>
      <c r="O423" s="6"/>
    </row>
    <row r="424" spans="1:15" x14ac:dyDescent="0.25">
      <c r="A424" s="3" t="s">
        <v>13</v>
      </c>
      <c r="B424" s="3" t="s">
        <v>885</v>
      </c>
      <c r="C424" s="3" t="s">
        <v>61</v>
      </c>
      <c r="D424" s="3">
        <v>630</v>
      </c>
      <c r="E424" s="3">
        <v>4</v>
      </c>
      <c r="F424" s="3">
        <v>525</v>
      </c>
      <c r="G424" s="3">
        <v>50</v>
      </c>
      <c r="H424" s="3">
        <v>0</v>
      </c>
      <c r="I424" s="3" t="s">
        <v>16</v>
      </c>
      <c r="J424" s="3">
        <v>48</v>
      </c>
      <c r="K424" s="3">
        <v>38</v>
      </c>
      <c r="L424" s="3">
        <v>0</v>
      </c>
      <c r="M424" s="3">
        <v>2.33</v>
      </c>
      <c r="N424" s="3" t="s">
        <v>886</v>
      </c>
      <c r="O424" s="6"/>
    </row>
    <row r="425" spans="1:15" x14ac:dyDescent="0.25">
      <c r="A425" s="3" t="s">
        <v>13</v>
      </c>
      <c r="B425" s="3" t="s">
        <v>887</v>
      </c>
      <c r="C425" s="3" t="s">
        <v>15</v>
      </c>
      <c r="D425" s="3">
        <v>315</v>
      </c>
      <c r="E425" s="3">
        <v>8</v>
      </c>
      <c r="F425" s="3">
        <v>3300</v>
      </c>
      <c r="G425" s="3">
        <v>50</v>
      </c>
      <c r="H425" s="3">
        <v>0</v>
      </c>
      <c r="I425" s="3" t="s">
        <v>16</v>
      </c>
      <c r="J425" s="3">
        <v>72</v>
      </c>
      <c r="K425" s="3">
        <v>56</v>
      </c>
      <c r="L425" s="3">
        <v>0</v>
      </c>
      <c r="M425" s="3">
        <v>1.79</v>
      </c>
      <c r="N425" s="3" t="s">
        <v>888</v>
      </c>
      <c r="O425" s="6"/>
    </row>
    <row r="426" spans="1:15" x14ac:dyDescent="0.25">
      <c r="A426" s="3" t="s">
        <v>13</v>
      </c>
      <c r="B426" s="3" t="s">
        <v>889</v>
      </c>
      <c r="C426" s="3" t="s">
        <v>30</v>
      </c>
      <c r="D426" s="3">
        <v>250</v>
      </c>
      <c r="E426" s="3">
        <v>4</v>
      </c>
      <c r="F426" s="3">
        <v>6600</v>
      </c>
      <c r="G426" s="3">
        <v>50</v>
      </c>
      <c r="H426" s="3">
        <v>0</v>
      </c>
      <c r="I426" s="3" t="s">
        <v>16</v>
      </c>
      <c r="J426" s="3">
        <v>48</v>
      </c>
      <c r="K426" s="3">
        <v>38</v>
      </c>
      <c r="L426" s="3">
        <v>0</v>
      </c>
      <c r="M426" s="3">
        <v>2.33</v>
      </c>
      <c r="N426" s="3" t="s">
        <v>890</v>
      </c>
      <c r="O426" s="6"/>
    </row>
    <row r="427" spans="1:15" x14ac:dyDescent="0.25">
      <c r="A427" s="3" t="s">
        <v>178</v>
      </c>
      <c r="B427" s="3" t="s">
        <v>891</v>
      </c>
      <c r="C427" s="3" t="s">
        <v>56</v>
      </c>
      <c r="D427" s="3">
        <v>330</v>
      </c>
      <c r="E427" s="3">
        <v>4</v>
      </c>
      <c r="F427" s="3">
        <v>3300</v>
      </c>
      <c r="G427" s="3">
        <v>50</v>
      </c>
      <c r="H427" s="3">
        <v>0</v>
      </c>
      <c r="I427" s="3" t="s">
        <v>16</v>
      </c>
      <c r="J427" s="3">
        <v>48</v>
      </c>
      <c r="K427" s="3">
        <v>38</v>
      </c>
      <c r="L427" s="3">
        <v>0</v>
      </c>
      <c r="M427" s="3">
        <v>1.79</v>
      </c>
      <c r="N427" s="3" t="s">
        <v>892</v>
      </c>
      <c r="O427" s="6"/>
    </row>
    <row r="428" spans="1:15" x14ac:dyDescent="0.25">
      <c r="A428" s="3" t="s">
        <v>13</v>
      </c>
      <c r="B428" s="3" t="s">
        <v>893</v>
      </c>
      <c r="C428" s="3" t="s">
        <v>23</v>
      </c>
      <c r="D428" s="3">
        <v>200</v>
      </c>
      <c r="E428" s="3">
        <v>4</v>
      </c>
      <c r="F428" s="3">
        <v>6600</v>
      </c>
      <c r="G428" s="3">
        <v>50</v>
      </c>
      <c r="H428" s="3">
        <v>0</v>
      </c>
      <c r="I428" s="3" t="s">
        <v>16</v>
      </c>
      <c r="J428" s="3">
        <v>48</v>
      </c>
      <c r="K428" s="3">
        <v>38</v>
      </c>
      <c r="L428" s="3">
        <v>0</v>
      </c>
      <c r="M428" s="3">
        <v>1.79</v>
      </c>
      <c r="N428" s="3" t="s">
        <v>894</v>
      </c>
      <c r="O428" s="6"/>
    </row>
    <row r="429" spans="1:15" x14ac:dyDescent="0.25">
      <c r="A429" s="3" t="s">
        <v>46</v>
      </c>
      <c r="B429" s="3" t="s">
        <v>191</v>
      </c>
      <c r="C429" s="3" t="s">
        <v>192</v>
      </c>
      <c r="D429" s="3">
        <v>380</v>
      </c>
      <c r="E429" s="3">
        <v>2</v>
      </c>
      <c r="F429" s="3">
        <v>6600</v>
      </c>
      <c r="G429" s="3">
        <v>50</v>
      </c>
      <c r="H429" s="3">
        <v>0</v>
      </c>
      <c r="I429" s="3" t="s">
        <v>16</v>
      </c>
      <c r="J429" s="3">
        <v>48</v>
      </c>
      <c r="K429" s="3">
        <v>40</v>
      </c>
      <c r="L429" s="3">
        <v>0</v>
      </c>
      <c r="M429" s="3">
        <v>1.79</v>
      </c>
      <c r="N429" s="3" t="s">
        <v>895</v>
      </c>
      <c r="O429" s="6"/>
    </row>
    <row r="430" spans="1:15" x14ac:dyDescent="0.25">
      <c r="A430" s="3" t="s">
        <v>13</v>
      </c>
      <c r="B430" s="3" t="s">
        <v>476</v>
      </c>
      <c r="C430" s="3" t="s">
        <v>56</v>
      </c>
      <c r="D430" s="3">
        <v>300</v>
      </c>
      <c r="E430" s="3">
        <v>4</v>
      </c>
      <c r="F430" s="3">
        <v>6600</v>
      </c>
      <c r="G430" s="3">
        <v>50</v>
      </c>
      <c r="H430" s="3">
        <v>0</v>
      </c>
      <c r="I430" s="3" t="s">
        <v>16</v>
      </c>
      <c r="J430" s="3">
        <v>48</v>
      </c>
      <c r="K430" s="3">
        <v>36</v>
      </c>
      <c r="L430" s="3">
        <v>1.0601849999999999</v>
      </c>
      <c r="M430" s="3">
        <v>1.79</v>
      </c>
      <c r="N430" s="3" t="s">
        <v>896</v>
      </c>
      <c r="O430" s="6"/>
    </row>
    <row r="431" spans="1:15" x14ac:dyDescent="0.25">
      <c r="A431" s="3" t="s">
        <v>13</v>
      </c>
      <c r="B431" s="3" t="s">
        <v>897</v>
      </c>
      <c r="C431" s="3" t="s">
        <v>64</v>
      </c>
      <c r="D431" s="3">
        <v>500</v>
      </c>
      <c r="E431" s="3">
        <v>6</v>
      </c>
      <c r="F431" s="3">
        <v>3300</v>
      </c>
      <c r="G431" s="3">
        <v>50</v>
      </c>
      <c r="H431" s="3">
        <v>1</v>
      </c>
      <c r="I431" s="3" t="s">
        <v>16</v>
      </c>
      <c r="J431" s="3">
        <v>54</v>
      </c>
      <c r="K431" s="3">
        <v>40</v>
      </c>
      <c r="L431" s="3">
        <v>0</v>
      </c>
      <c r="M431" s="3">
        <v>1.79</v>
      </c>
      <c r="N431" s="3" t="s">
        <v>898</v>
      </c>
      <c r="O431" s="6"/>
    </row>
    <row r="432" spans="1:15" x14ac:dyDescent="0.25">
      <c r="A432" s="3" t="s">
        <v>13</v>
      </c>
      <c r="B432" s="3" t="s">
        <v>899</v>
      </c>
      <c r="C432" s="3" t="s">
        <v>64</v>
      </c>
      <c r="D432" s="3">
        <v>630</v>
      </c>
      <c r="E432" s="3">
        <v>4</v>
      </c>
      <c r="F432" s="3">
        <v>6600</v>
      </c>
      <c r="G432" s="3">
        <v>50</v>
      </c>
      <c r="H432" s="3">
        <v>1</v>
      </c>
      <c r="I432" s="3" t="s">
        <v>16</v>
      </c>
      <c r="J432" s="3">
        <v>48</v>
      </c>
      <c r="K432" s="3">
        <v>38</v>
      </c>
      <c r="L432" s="3">
        <v>0</v>
      </c>
      <c r="M432" s="3">
        <v>1.79</v>
      </c>
      <c r="N432" s="3" t="s">
        <v>900</v>
      </c>
      <c r="O432" s="6"/>
    </row>
    <row r="433" spans="1:15" x14ac:dyDescent="0.25">
      <c r="A433" s="3" t="s">
        <v>13</v>
      </c>
      <c r="B433" s="3" t="s">
        <v>901</v>
      </c>
      <c r="C433" s="3" t="s">
        <v>131</v>
      </c>
      <c r="D433" s="3">
        <v>630</v>
      </c>
      <c r="E433" s="3">
        <v>4</v>
      </c>
      <c r="F433" s="3">
        <v>6600</v>
      </c>
      <c r="G433" s="3">
        <v>50</v>
      </c>
      <c r="H433" s="3">
        <v>1</v>
      </c>
      <c r="I433" s="3" t="s">
        <v>16</v>
      </c>
      <c r="J433" s="3">
        <v>48</v>
      </c>
      <c r="K433" s="3">
        <v>38</v>
      </c>
      <c r="L433" s="3">
        <v>0</v>
      </c>
      <c r="M433" s="3">
        <v>1.79</v>
      </c>
      <c r="N433" s="3" t="s">
        <v>902</v>
      </c>
      <c r="O433" s="6"/>
    </row>
    <row r="434" spans="1:15" x14ac:dyDescent="0.25">
      <c r="A434" s="3" t="s">
        <v>13</v>
      </c>
      <c r="B434" s="3" t="s">
        <v>903</v>
      </c>
      <c r="C434" s="3" t="s">
        <v>131</v>
      </c>
      <c r="D434" s="3">
        <v>650</v>
      </c>
      <c r="E434" s="3">
        <v>4</v>
      </c>
      <c r="F434" s="3">
        <v>6600</v>
      </c>
      <c r="G434" s="3">
        <v>50</v>
      </c>
      <c r="H434" s="3">
        <v>0</v>
      </c>
      <c r="I434" s="3" t="s">
        <v>16</v>
      </c>
      <c r="J434" s="3">
        <v>48</v>
      </c>
      <c r="K434" s="3">
        <v>38</v>
      </c>
      <c r="L434" s="3">
        <v>0</v>
      </c>
      <c r="M434" s="3">
        <v>1.79</v>
      </c>
      <c r="N434" s="3" t="s">
        <v>904</v>
      </c>
      <c r="O434" s="6"/>
    </row>
    <row r="435" spans="1:15" x14ac:dyDescent="0.25">
      <c r="A435" s="3" t="s">
        <v>13</v>
      </c>
      <c r="B435" s="3" t="s">
        <v>905</v>
      </c>
      <c r="C435" s="3" t="s">
        <v>360</v>
      </c>
      <c r="D435" s="3">
        <v>370</v>
      </c>
      <c r="E435" s="3">
        <v>8</v>
      </c>
      <c r="F435" s="3">
        <v>11000</v>
      </c>
      <c r="G435" s="3">
        <v>50</v>
      </c>
      <c r="H435" s="3">
        <v>0</v>
      </c>
      <c r="I435" s="3" t="s">
        <v>16</v>
      </c>
      <c r="J435" s="3">
        <v>72</v>
      </c>
      <c r="K435" s="3">
        <v>88</v>
      </c>
      <c r="L435" s="3">
        <v>0</v>
      </c>
      <c r="M435" s="3">
        <v>6</v>
      </c>
      <c r="N435" s="3" t="s">
        <v>906</v>
      </c>
      <c r="O435" s="6"/>
    </row>
    <row r="436" spans="1:15" x14ac:dyDescent="0.25">
      <c r="A436" s="3" t="s">
        <v>13</v>
      </c>
      <c r="B436" s="3" t="s">
        <v>907</v>
      </c>
      <c r="C436" s="3" t="s">
        <v>360</v>
      </c>
      <c r="D436" s="3">
        <v>375</v>
      </c>
      <c r="E436" s="3">
        <v>8</v>
      </c>
      <c r="F436" s="3">
        <v>6600</v>
      </c>
      <c r="G436" s="3">
        <v>50</v>
      </c>
      <c r="H436" s="3">
        <v>0</v>
      </c>
      <c r="I436" s="3" t="s">
        <v>16</v>
      </c>
      <c r="J436" s="3">
        <v>72</v>
      </c>
      <c r="K436" s="3">
        <v>88</v>
      </c>
      <c r="L436" s="3">
        <v>0</v>
      </c>
      <c r="M436" s="3">
        <v>6</v>
      </c>
      <c r="N436" s="3" t="s">
        <v>908</v>
      </c>
      <c r="O436" s="6"/>
    </row>
    <row r="437" spans="1:15" x14ac:dyDescent="0.25">
      <c r="A437" s="3" t="s">
        <v>13</v>
      </c>
      <c r="B437" s="3" t="s">
        <v>909</v>
      </c>
      <c r="C437" s="3" t="s">
        <v>124</v>
      </c>
      <c r="D437" s="3">
        <v>1900</v>
      </c>
      <c r="E437" s="3">
        <v>4</v>
      </c>
      <c r="F437" s="3">
        <v>6600</v>
      </c>
      <c r="G437" s="3">
        <v>50</v>
      </c>
      <c r="H437" s="3">
        <v>0</v>
      </c>
      <c r="I437" s="3" t="s">
        <v>16</v>
      </c>
      <c r="J437" s="3">
        <v>60</v>
      </c>
      <c r="K437" s="3">
        <v>50</v>
      </c>
      <c r="L437" s="3">
        <v>0</v>
      </c>
      <c r="M437" s="3">
        <v>1.79</v>
      </c>
      <c r="N437" s="3" t="s">
        <v>910</v>
      </c>
      <c r="O437" s="6"/>
    </row>
    <row r="438" spans="1:15" x14ac:dyDescent="0.25">
      <c r="A438" s="3" t="s">
        <v>13</v>
      </c>
      <c r="B438" s="3" t="s">
        <v>911</v>
      </c>
      <c r="C438" s="3" t="s">
        <v>56</v>
      </c>
      <c r="D438" s="3">
        <v>400</v>
      </c>
      <c r="E438" s="3">
        <v>4</v>
      </c>
      <c r="F438" s="3">
        <v>3300</v>
      </c>
      <c r="G438" s="3">
        <v>50</v>
      </c>
      <c r="H438" s="3">
        <v>0</v>
      </c>
      <c r="I438" s="3" t="s">
        <v>16</v>
      </c>
      <c r="J438" s="3">
        <v>48</v>
      </c>
      <c r="K438" s="3">
        <v>38</v>
      </c>
      <c r="L438" s="3">
        <v>0</v>
      </c>
      <c r="M438" s="3">
        <v>1.79</v>
      </c>
      <c r="N438" s="3" t="s">
        <v>912</v>
      </c>
      <c r="O438" s="6"/>
    </row>
    <row r="439" spans="1:15" x14ac:dyDescent="0.25">
      <c r="A439" s="3" t="s">
        <v>13</v>
      </c>
      <c r="B439" s="3" t="s">
        <v>531</v>
      </c>
      <c r="C439" s="3" t="s">
        <v>56</v>
      </c>
      <c r="D439" s="3">
        <v>350</v>
      </c>
      <c r="E439" s="3">
        <v>4</v>
      </c>
      <c r="F439" s="3">
        <v>6600</v>
      </c>
      <c r="G439" s="3">
        <v>50</v>
      </c>
      <c r="H439" s="3">
        <v>0</v>
      </c>
      <c r="I439" s="3" t="s">
        <v>16</v>
      </c>
      <c r="J439" s="3">
        <v>48</v>
      </c>
      <c r="K439" s="3">
        <v>38</v>
      </c>
      <c r="L439" s="3">
        <v>0</v>
      </c>
      <c r="M439" s="3">
        <v>1.79</v>
      </c>
      <c r="N439" s="3" t="s">
        <v>913</v>
      </c>
      <c r="O439" s="6"/>
    </row>
    <row r="440" spans="1:15" x14ac:dyDescent="0.25">
      <c r="A440" s="3" t="s">
        <v>13</v>
      </c>
      <c r="B440" s="3" t="s">
        <v>914</v>
      </c>
      <c r="C440" s="3" t="s">
        <v>146</v>
      </c>
      <c r="D440" s="3">
        <v>420</v>
      </c>
      <c r="E440" s="3">
        <v>4</v>
      </c>
      <c r="F440" s="3">
        <v>3300</v>
      </c>
      <c r="G440" s="3">
        <v>50</v>
      </c>
      <c r="H440" s="3">
        <v>0</v>
      </c>
      <c r="I440" s="3" t="s">
        <v>16</v>
      </c>
      <c r="J440" s="3">
        <v>48</v>
      </c>
      <c r="K440" s="3">
        <v>38</v>
      </c>
      <c r="L440" s="3">
        <v>0</v>
      </c>
      <c r="M440" s="3">
        <v>1.79</v>
      </c>
      <c r="N440" s="3" t="s">
        <v>915</v>
      </c>
      <c r="O440" s="6"/>
    </row>
    <row r="441" spans="1:15" x14ac:dyDescent="0.25">
      <c r="A441" s="3" t="s">
        <v>13</v>
      </c>
      <c r="B441" s="3" t="s">
        <v>916</v>
      </c>
      <c r="C441" s="3" t="s">
        <v>146</v>
      </c>
      <c r="D441" s="3">
        <v>490</v>
      </c>
      <c r="E441" s="3">
        <v>4</v>
      </c>
      <c r="F441" s="3">
        <v>3300</v>
      </c>
      <c r="G441" s="3">
        <v>50</v>
      </c>
      <c r="H441" s="3">
        <v>0</v>
      </c>
      <c r="I441" s="3" t="s">
        <v>16</v>
      </c>
      <c r="J441" s="3">
        <v>48</v>
      </c>
      <c r="K441" s="3">
        <v>38</v>
      </c>
      <c r="L441" s="3">
        <v>0</v>
      </c>
      <c r="M441" s="3">
        <v>1.79</v>
      </c>
      <c r="N441" s="3" t="s">
        <v>917</v>
      </c>
      <c r="O441" s="6"/>
    </row>
    <row r="442" spans="1:15" x14ac:dyDescent="0.25">
      <c r="A442" s="3" t="s">
        <v>13</v>
      </c>
      <c r="B442" s="3" t="s">
        <v>918</v>
      </c>
      <c r="C442" s="3" t="s">
        <v>19</v>
      </c>
      <c r="D442" s="3">
        <v>390</v>
      </c>
      <c r="E442" s="3">
        <v>4</v>
      </c>
      <c r="F442" s="3">
        <v>6600</v>
      </c>
      <c r="G442" s="3">
        <v>50</v>
      </c>
      <c r="H442" s="3">
        <v>0</v>
      </c>
      <c r="I442" s="3" t="s">
        <v>16</v>
      </c>
      <c r="J442" s="3">
        <v>48</v>
      </c>
      <c r="K442" s="3">
        <v>38</v>
      </c>
      <c r="L442" s="3">
        <v>0</v>
      </c>
      <c r="M442" s="3">
        <v>1.79</v>
      </c>
      <c r="N442" s="3" t="s">
        <v>919</v>
      </c>
      <c r="O442" s="6"/>
    </row>
    <row r="443" spans="1:15" x14ac:dyDescent="0.25">
      <c r="A443" s="3" t="s">
        <v>13</v>
      </c>
      <c r="B443" s="3" t="s">
        <v>920</v>
      </c>
      <c r="C443" s="3" t="s">
        <v>146</v>
      </c>
      <c r="D443" s="3">
        <v>455</v>
      </c>
      <c r="E443" s="3">
        <v>4</v>
      </c>
      <c r="F443" s="3">
        <v>6600</v>
      </c>
      <c r="G443" s="3">
        <v>50</v>
      </c>
      <c r="H443" s="3">
        <v>0</v>
      </c>
      <c r="I443" s="3" t="s">
        <v>16</v>
      </c>
      <c r="J443" s="3">
        <v>48</v>
      </c>
      <c r="K443" s="3">
        <v>38</v>
      </c>
      <c r="L443" s="3">
        <v>0</v>
      </c>
      <c r="M443" s="3">
        <v>1.79</v>
      </c>
      <c r="N443" s="3" t="s">
        <v>921</v>
      </c>
      <c r="O443" s="6"/>
    </row>
    <row r="444" spans="1:15" x14ac:dyDescent="0.25">
      <c r="A444" s="3" t="s">
        <v>13</v>
      </c>
      <c r="B444" s="3" t="s">
        <v>922</v>
      </c>
      <c r="C444" s="3" t="s">
        <v>61</v>
      </c>
      <c r="D444" s="3">
        <v>640</v>
      </c>
      <c r="E444" s="3">
        <v>4</v>
      </c>
      <c r="F444" s="3">
        <v>3300</v>
      </c>
      <c r="G444" s="3">
        <v>50</v>
      </c>
      <c r="H444" s="3">
        <v>0</v>
      </c>
      <c r="I444" s="3" t="s">
        <v>16</v>
      </c>
      <c r="J444" s="3">
        <v>48</v>
      </c>
      <c r="K444" s="3">
        <v>38</v>
      </c>
      <c r="L444" s="3">
        <v>0</v>
      </c>
      <c r="M444" s="3">
        <v>1.79</v>
      </c>
      <c r="N444" s="3" t="s">
        <v>923</v>
      </c>
      <c r="O444" s="6"/>
    </row>
    <row r="445" spans="1:15" x14ac:dyDescent="0.25">
      <c r="A445" s="3" t="s">
        <v>13</v>
      </c>
      <c r="B445" s="3" t="s">
        <v>924</v>
      </c>
      <c r="C445" s="3" t="s">
        <v>64</v>
      </c>
      <c r="D445" s="3">
        <v>720</v>
      </c>
      <c r="E445" s="3">
        <v>4</v>
      </c>
      <c r="F445" s="3">
        <v>3300</v>
      </c>
      <c r="G445" s="3">
        <v>50</v>
      </c>
      <c r="H445" s="3">
        <v>0</v>
      </c>
      <c r="I445" s="3" t="s">
        <v>16</v>
      </c>
      <c r="J445" s="3">
        <v>48</v>
      </c>
      <c r="K445" s="3">
        <v>38</v>
      </c>
      <c r="L445" s="3">
        <v>0</v>
      </c>
      <c r="M445" s="3">
        <v>1.79</v>
      </c>
      <c r="N445" s="3" t="s">
        <v>925</v>
      </c>
      <c r="O445" s="6"/>
    </row>
    <row r="446" spans="1:15" x14ac:dyDescent="0.25">
      <c r="A446" s="3" t="s">
        <v>13</v>
      </c>
      <c r="B446" s="3" t="s">
        <v>926</v>
      </c>
      <c r="C446" s="3" t="s">
        <v>61</v>
      </c>
      <c r="D446" s="3">
        <v>600</v>
      </c>
      <c r="E446" s="3">
        <v>4</v>
      </c>
      <c r="F446" s="3">
        <v>6600</v>
      </c>
      <c r="G446" s="3">
        <v>50</v>
      </c>
      <c r="H446" s="3">
        <v>0</v>
      </c>
      <c r="I446" s="3" t="s">
        <v>16</v>
      </c>
      <c r="J446" s="3">
        <v>48</v>
      </c>
      <c r="K446" s="3">
        <v>38</v>
      </c>
      <c r="L446" s="3">
        <v>0</v>
      </c>
      <c r="M446" s="3">
        <v>1.79</v>
      </c>
      <c r="N446" s="3" t="s">
        <v>927</v>
      </c>
      <c r="O446" s="6"/>
    </row>
    <row r="447" spans="1:15" x14ac:dyDescent="0.25">
      <c r="A447" s="3" t="s">
        <v>13</v>
      </c>
      <c r="B447" s="3" t="s">
        <v>928</v>
      </c>
      <c r="C447" s="3" t="s">
        <v>73</v>
      </c>
      <c r="D447" s="3">
        <v>750</v>
      </c>
      <c r="E447" s="3">
        <v>4</v>
      </c>
      <c r="F447" s="3">
        <v>6600</v>
      </c>
      <c r="G447" s="3">
        <v>50</v>
      </c>
      <c r="H447" s="3">
        <v>0</v>
      </c>
      <c r="I447" s="3" t="s">
        <v>16</v>
      </c>
      <c r="J447" s="3">
        <v>48</v>
      </c>
      <c r="K447" s="3">
        <v>38</v>
      </c>
      <c r="L447" s="3">
        <v>0</v>
      </c>
      <c r="M447" s="3">
        <v>1.79</v>
      </c>
      <c r="N447" s="3" t="s">
        <v>929</v>
      </c>
      <c r="O447" s="6"/>
    </row>
    <row r="448" spans="1:15" x14ac:dyDescent="0.25">
      <c r="A448" s="3" t="s">
        <v>13</v>
      </c>
      <c r="B448" s="3" t="s">
        <v>930</v>
      </c>
      <c r="C448" s="3" t="s">
        <v>212</v>
      </c>
      <c r="D448" s="3">
        <v>365</v>
      </c>
      <c r="E448" s="3">
        <v>6</v>
      </c>
      <c r="F448" s="3">
        <v>3300</v>
      </c>
      <c r="G448" s="3">
        <v>50</v>
      </c>
      <c r="H448" s="3">
        <v>0</v>
      </c>
      <c r="I448" s="3" t="s">
        <v>16</v>
      </c>
      <c r="J448" s="3">
        <v>54</v>
      </c>
      <c r="K448" s="3">
        <v>40</v>
      </c>
      <c r="L448" s="3">
        <v>0</v>
      </c>
      <c r="M448" s="3">
        <v>1.79</v>
      </c>
      <c r="N448" s="3" t="s">
        <v>931</v>
      </c>
      <c r="O448" s="6"/>
    </row>
    <row r="449" spans="1:15" x14ac:dyDescent="0.25">
      <c r="A449" s="3" t="s">
        <v>13</v>
      </c>
      <c r="B449" s="3" t="s">
        <v>211</v>
      </c>
      <c r="C449" s="3" t="s">
        <v>212</v>
      </c>
      <c r="D449" s="3">
        <v>325</v>
      </c>
      <c r="E449" s="3">
        <v>6</v>
      </c>
      <c r="F449" s="3">
        <v>6600</v>
      </c>
      <c r="G449" s="3">
        <v>50</v>
      </c>
      <c r="H449" s="3">
        <v>0</v>
      </c>
      <c r="I449" s="3" t="s">
        <v>16</v>
      </c>
      <c r="J449" s="3">
        <v>54</v>
      </c>
      <c r="K449" s="3">
        <v>40</v>
      </c>
      <c r="L449" s="3">
        <v>0</v>
      </c>
      <c r="M449" s="3">
        <v>1.79</v>
      </c>
      <c r="N449" s="3" t="s">
        <v>932</v>
      </c>
      <c r="O449" s="6"/>
    </row>
    <row r="450" spans="1:15" x14ac:dyDescent="0.25">
      <c r="A450" s="3" t="s">
        <v>13</v>
      </c>
      <c r="B450" s="3" t="s">
        <v>933</v>
      </c>
      <c r="C450" s="3" t="s">
        <v>61</v>
      </c>
      <c r="D450" s="3">
        <v>520</v>
      </c>
      <c r="E450" s="3">
        <v>6</v>
      </c>
      <c r="F450" s="3">
        <v>3300</v>
      </c>
      <c r="G450" s="3">
        <v>50</v>
      </c>
      <c r="H450" s="3">
        <v>0</v>
      </c>
      <c r="I450" s="3" t="s">
        <v>16</v>
      </c>
      <c r="J450" s="3">
        <v>54</v>
      </c>
      <c r="K450" s="3">
        <v>40</v>
      </c>
      <c r="L450" s="3">
        <v>0</v>
      </c>
      <c r="M450" s="3">
        <v>1.79</v>
      </c>
      <c r="N450" s="3" t="s">
        <v>934</v>
      </c>
      <c r="O450" s="6"/>
    </row>
    <row r="451" spans="1:15" x14ac:dyDescent="0.25">
      <c r="A451" s="3" t="s">
        <v>13</v>
      </c>
      <c r="B451" s="3" t="s">
        <v>541</v>
      </c>
      <c r="C451" s="3" t="s">
        <v>64</v>
      </c>
      <c r="D451" s="3">
        <v>560</v>
      </c>
      <c r="E451" s="3">
        <v>6</v>
      </c>
      <c r="F451" s="3">
        <v>3300</v>
      </c>
      <c r="G451" s="3">
        <v>50</v>
      </c>
      <c r="H451" s="3">
        <v>0</v>
      </c>
      <c r="I451" s="3" t="s">
        <v>16</v>
      </c>
      <c r="J451" s="3">
        <v>54</v>
      </c>
      <c r="K451" s="3">
        <v>40</v>
      </c>
      <c r="L451" s="3">
        <v>0</v>
      </c>
      <c r="M451" s="3">
        <v>1.79</v>
      </c>
      <c r="N451" s="3" t="s">
        <v>935</v>
      </c>
      <c r="O451" s="6"/>
    </row>
    <row r="452" spans="1:15" x14ac:dyDescent="0.25">
      <c r="A452" s="3" t="s">
        <v>13</v>
      </c>
      <c r="B452" s="3" t="s">
        <v>936</v>
      </c>
      <c r="C452" s="3" t="s">
        <v>73</v>
      </c>
      <c r="D452" s="3">
        <v>645</v>
      </c>
      <c r="E452" s="3">
        <v>6</v>
      </c>
      <c r="F452" s="3">
        <v>3300</v>
      </c>
      <c r="G452" s="3">
        <v>50</v>
      </c>
      <c r="H452" s="3">
        <v>0</v>
      </c>
      <c r="I452" s="3" t="s">
        <v>16</v>
      </c>
      <c r="J452" s="3">
        <v>54</v>
      </c>
      <c r="K452" s="3">
        <v>40</v>
      </c>
      <c r="L452" s="3">
        <v>0</v>
      </c>
      <c r="M452" s="3">
        <v>1.79</v>
      </c>
      <c r="N452" s="3" t="s">
        <v>937</v>
      </c>
      <c r="O452" s="6"/>
    </row>
    <row r="453" spans="1:15" x14ac:dyDescent="0.25">
      <c r="A453" s="3" t="s">
        <v>13</v>
      </c>
      <c r="B453" s="3" t="s">
        <v>938</v>
      </c>
      <c r="C453" s="3" t="s">
        <v>61</v>
      </c>
      <c r="D453" s="3">
        <v>460</v>
      </c>
      <c r="E453" s="3">
        <v>6</v>
      </c>
      <c r="F453" s="3">
        <v>6600</v>
      </c>
      <c r="G453" s="3">
        <v>50</v>
      </c>
      <c r="H453" s="3">
        <v>0</v>
      </c>
      <c r="I453" s="3" t="s">
        <v>16</v>
      </c>
      <c r="J453" s="3">
        <v>54</v>
      </c>
      <c r="K453" s="3">
        <v>40</v>
      </c>
      <c r="L453" s="3">
        <v>0</v>
      </c>
      <c r="M453" s="3">
        <v>1.79</v>
      </c>
      <c r="N453" s="3" t="s">
        <v>939</v>
      </c>
      <c r="O453" s="6"/>
    </row>
    <row r="454" spans="1:15" x14ac:dyDescent="0.25">
      <c r="A454" s="3" t="s">
        <v>13</v>
      </c>
      <c r="B454" s="3" t="s">
        <v>940</v>
      </c>
      <c r="C454" s="3" t="s">
        <v>64</v>
      </c>
      <c r="D454" s="3">
        <v>510</v>
      </c>
      <c r="E454" s="3">
        <v>6</v>
      </c>
      <c r="F454" s="3">
        <v>6600</v>
      </c>
      <c r="G454" s="3">
        <v>50</v>
      </c>
      <c r="H454" s="3">
        <v>0</v>
      </c>
      <c r="I454" s="3" t="s">
        <v>16</v>
      </c>
      <c r="J454" s="3">
        <v>54</v>
      </c>
      <c r="K454" s="3">
        <v>40</v>
      </c>
      <c r="L454" s="3">
        <v>0</v>
      </c>
      <c r="M454" s="3">
        <v>1.79</v>
      </c>
      <c r="N454" s="3" t="s">
        <v>941</v>
      </c>
      <c r="O454" s="6"/>
    </row>
    <row r="455" spans="1:15" x14ac:dyDescent="0.25">
      <c r="A455" s="3" t="s">
        <v>13</v>
      </c>
      <c r="B455" s="3" t="s">
        <v>942</v>
      </c>
      <c r="C455" s="3" t="s">
        <v>404</v>
      </c>
      <c r="D455" s="3">
        <v>735</v>
      </c>
      <c r="E455" s="3">
        <v>2</v>
      </c>
      <c r="F455" s="3">
        <v>3300</v>
      </c>
      <c r="G455" s="3">
        <v>50</v>
      </c>
      <c r="H455" s="3">
        <v>0</v>
      </c>
      <c r="I455" s="3" t="s">
        <v>16</v>
      </c>
      <c r="J455" s="3">
        <v>48</v>
      </c>
      <c r="K455" s="3">
        <v>40</v>
      </c>
      <c r="L455" s="3">
        <v>0</v>
      </c>
      <c r="M455" s="3">
        <v>1.79</v>
      </c>
      <c r="N455" s="3" t="s">
        <v>943</v>
      </c>
      <c r="O455" s="6"/>
    </row>
    <row r="456" spans="1:15" x14ac:dyDescent="0.25">
      <c r="A456" s="3" t="s">
        <v>13</v>
      </c>
      <c r="B456" s="3" t="s">
        <v>944</v>
      </c>
      <c r="C456" s="3" t="s">
        <v>47</v>
      </c>
      <c r="D456" s="3">
        <v>815</v>
      </c>
      <c r="E456" s="3">
        <v>2</v>
      </c>
      <c r="F456" s="3">
        <v>3300</v>
      </c>
      <c r="G456" s="3">
        <v>50</v>
      </c>
      <c r="H456" s="3">
        <v>0</v>
      </c>
      <c r="I456" s="3" t="s">
        <v>16</v>
      </c>
      <c r="J456" s="3">
        <v>48</v>
      </c>
      <c r="K456" s="3">
        <v>40</v>
      </c>
      <c r="L456" s="3">
        <v>0</v>
      </c>
      <c r="M456" s="3">
        <v>1.79</v>
      </c>
      <c r="N456" s="3" t="s">
        <v>945</v>
      </c>
      <c r="O456" s="6"/>
    </row>
    <row r="457" spans="1:15" x14ac:dyDescent="0.25">
      <c r="A457" s="3" t="s">
        <v>13</v>
      </c>
      <c r="B457" s="3" t="s">
        <v>946</v>
      </c>
      <c r="C457" s="3" t="s">
        <v>99</v>
      </c>
      <c r="D457" s="3">
        <v>350</v>
      </c>
      <c r="E457" s="3">
        <v>6</v>
      </c>
      <c r="F457" s="3">
        <v>6600</v>
      </c>
      <c r="G457" s="3">
        <v>50</v>
      </c>
      <c r="H457" s="3">
        <v>0</v>
      </c>
      <c r="I457" s="3" t="s">
        <v>16</v>
      </c>
      <c r="J457" s="3">
        <v>54</v>
      </c>
      <c r="K457" s="3">
        <v>42</v>
      </c>
      <c r="L457" s="3">
        <v>1</v>
      </c>
      <c r="M457" s="3">
        <v>1.79</v>
      </c>
      <c r="N457" s="3" t="s">
        <v>947</v>
      </c>
      <c r="O457" s="6"/>
    </row>
    <row r="458" spans="1:15" x14ac:dyDescent="0.25">
      <c r="A458" s="3" t="s">
        <v>13</v>
      </c>
      <c r="B458" s="3" t="s">
        <v>948</v>
      </c>
      <c r="C458" s="3" t="s">
        <v>136</v>
      </c>
      <c r="D458" s="3">
        <v>700</v>
      </c>
      <c r="E458" s="3">
        <v>6</v>
      </c>
      <c r="F458" s="3">
        <v>6600</v>
      </c>
      <c r="G458" s="3">
        <v>50</v>
      </c>
      <c r="H458" s="3">
        <v>0</v>
      </c>
      <c r="I458" s="3" t="s">
        <v>16</v>
      </c>
      <c r="J458" s="3">
        <v>72</v>
      </c>
      <c r="K458" s="3">
        <v>54</v>
      </c>
      <c r="L458" s="3">
        <v>1.2396</v>
      </c>
      <c r="M458" s="3">
        <v>1.79</v>
      </c>
      <c r="N458" s="3" t="s">
        <v>949</v>
      </c>
      <c r="O458" s="6"/>
    </row>
    <row r="459" spans="1:15" x14ac:dyDescent="0.25">
      <c r="A459" s="3" t="s">
        <v>13</v>
      </c>
      <c r="B459" s="3" t="s">
        <v>950</v>
      </c>
      <c r="C459" s="3" t="s">
        <v>146</v>
      </c>
      <c r="D459" s="3">
        <v>530</v>
      </c>
      <c r="E459" s="3">
        <v>4</v>
      </c>
      <c r="F459" s="3">
        <v>6600</v>
      </c>
      <c r="G459" s="3">
        <v>60</v>
      </c>
      <c r="H459" s="3">
        <v>0</v>
      </c>
      <c r="I459" s="3" t="s">
        <v>16</v>
      </c>
      <c r="J459" s="3">
        <v>48</v>
      </c>
      <c r="K459" s="3">
        <v>36</v>
      </c>
      <c r="L459" s="3">
        <v>1.2758</v>
      </c>
      <c r="M459" s="3">
        <v>1.79</v>
      </c>
      <c r="N459" s="3" t="s">
        <v>951</v>
      </c>
      <c r="O459" s="6"/>
    </row>
    <row r="460" spans="1:15" x14ac:dyDescent="0.25">
      <c r="A460" s="3" t="s">
        <v>13</v>
      </c>
      <c r="B460" s="3" t="s">
        <v>952</v>
      </c>
      <c r="C460" s="3" t="s">
        <v>30</v>
      </c>
      <c r="D460" s="3">
        <v>265</v>
      </c>
      <c r="E460" s="3">
        <v>4</v>
      </c>
      <c r="F460" s="3">
        <v>3300</v>
      </c>
      <c r="G460" s="3">
        <v>50</v>
      </c>
      <c r="H460" s="3">
        <v>0</v>
      </c>
      <c r="I460" s="3" t="s">
        <v>16</v>
      </c>
      <c r="J460" s="3">
        <v>48</v>
      </c>
      <c r="K460" s="3">
        <v>38</v>
      </c>
      <c r="L460" s="3">
        <v>0</v>
      </c>
      <c r="M460" s="3">
        <v>1.79</v>
      </c>
      <c r="N460" s="3" t="s">
        <v>953</v>
      </c>
      <c r="O460" s="6"/>
    </row>
    <row r="461" spans="1:15" x14ac:dyDescent="0.25">
      <c r="A461" s="3" t="s">
        <v>13</v>
      </c>
      <c r="B461" s="3" t="s">
        <v>954</v>
      </c>
      <c r="C461" s="3" t="s">
        <v>146</v>
      </c>
      <c r="D461" s="3">
        <v>485</v>
      </c>
      <c r="E461" s="3">
        <v>4</v>
      </c>
      <c r="F461" s="3">
        <v>3300</v>
      </c>
      <c r="G461" s="3">
        <v>50</v>
      </c>
      <c r="H461" s="3">
        <v>0</v>
      </c>
      <c r="I461" s="3" t="s">
        <v>16</v>
      </c>
      <c r="J461" s="3">
        <v>48</v>
      </c>
      <c r="K461" s="3">
        <v>36</v>
      </c>
      <c r="L461" s="3">
        <v>0</v>
      </c>
      <c r="M461" s="3">
        <v>1.79</v>
      </c>
      <c r="N461" s="3" t="s">
        <v>955</v>
      </c>
      <c r="O461" s="6"/>
    </row>
    <row r="462" spans="1:15" x14ac:dyDescent="0.25">
      <c r="A462" s="3" t="s">
        <v>13</v>
      </c>
      <c r="B462" s="3" t="s">
        <v>956</v>
      </c>
      <c r="C462" s="3" t="s">
        <v>15</v>
      </c>
      <c r="D462" s="3">
        <v>520</v>
      </c>
      <c r="E462" s="3">
        <v>4</v>
      </c>
      <c r="F462" s="3">
        <v>3300</v>
      </c>
      <c r="G462" s="3">
        <v>50</v>
      </c>
      <c r="H462" s="3">
        <v>0</v>
      </c>
      <c r="I462" s="3" t="s">
        <v>16</v>
      </c>
      <c r="J462" s="3">
        <v>48</v>
      </c>
      <c r="K462" s="3">
        <v>38</v>
      </c>
      <c r="L462" s="3">
        <v>0</v>
      </c>
      <c r="M462" s="3">
        <v>1.79</v>
      </c>
      <c r="N462" s="3" t="s">
        <v>957</v>
      </c>
      <c r="O462" s="6"/>
    </row>
    <row r="463" spans="1:15" x14ac:dyDescent="0.25">
      <c r="A463" s="3" t="s">
        <v>13</v>
      </c>
      <c r="B463" s="3" t="s">
        <v>958</v>
      </c>
      <c r="C463" s="3" t="s">
        <v>360</v>
      </c>
      <c r="D463" s="3">
        <v>660</v>
      </c>
      <c r="E463" s="3">
        <v>8</v>
      </c>
      <c r="F463" s="3">
        <v>3300</v>
      </c>
      <c r="G463" s="3">
        <v>50</v>
      </c>
      <c r="H463" s="3">
        <v>0</v>
      </c>
      <c r="I463" s="3" t="s">
        <v>16</v>
      </c>
      <c r="J463" s="3">
        <v>72</v>
      </c>
      <c r="K463" s="3">
        <v>88</v>
      </c>
      <c r="L463" s="3">
        <v>0</v>
      </c>
      <c r="M463" s="3">
        <v>1.79</v>
      </c>
      <c r="N463" s="3" t="s">
        <v>959</v>
      </c>
      <c r="O463" s="6"/>
    </row>
    <row r="464" spans="1:15" x14ac:dyDescent="0.25">
      <c r="A464" s="3" t="s">
        <v>13</v>
      </c>
      <c r="B464" s="3" t="s">
        <v>893</v>
      </c>
      <c r="C464" s="3" t="s">
        <v>23</v>
      </c>
      <c r="D464" s="3">
        <v>200</v>
      </c>
      <c r="E464" s="3">
        <v>4</v>
      </c>
      <c r="F464" s="3">
        <v>6600</v>
      </c>
      <c r="G464" s="3">
        <v>50</v>
      </c>
      <c r="H464" s="3">
        <v>0</v>
      </c>
      <c r="I464" s="3" t="s">
        <v>16</v>
      </c>
      <c r="J464" s="3">
        <v>48</v>
      </c>
      <c r="K464" s="3">
        <v>38</v>
      </c>
      <c r="L464" s="3">
        <v>0</v>
      </c>
      <c r="M464" s="3">
        <v>1.79</v>
      </c>
      <c r="N464" s="3" t="s">
        <v>960</v>
      </c>
      <c r="O464" s="6"/>
    </row>
    <row r="465" spans="1:15" x14ac:dyDescent="0.25">
      <c r="A465" s="3" t="s">
        <v>13</v>
      </c>
      <c r="B465" s="3" t="s">
        <v>961</v>
      </c>
      <c r="C465" s="3" t="s">
        <v>30</v>
      </c>
      <c r="D465" s="3">
        <v>250</v>
      </c>
      <c r="E465" s="3">
        <v>4</v>
      </c>
      <c r="F465" s="3">
        <v>6600</v>
      </c>
      <c r="G465" s="3">
        <v>50</v>
      </c>
      <c r="H465" s="3">
        <v>0</v>
      </c>
      <c r="I465" s="3" t="s">
        <v>16</v>
      </c>
      <c r="J465" s="3">
        <v>48</v>
      </c>
      <c r="K465" s="3">
        <v>38</v>
      </c>
      <c r="L465" s="3">
        <v>0</v>
      </c>
      <c r="M465" s="3">
        <v>1.79</v>
      </c>
      <c r="N465" s="3" t="s">
        <v>962</v>
      </c>
      <c r="O465" s="6"/>
    </row>
    <row r="466" spans="1:15" x14ac:dyDescent="0.25">
      <c r="A466" s="3" t="s">
        <v>13</v>
      </c>
      <c r="B466" s="3" t="s">
        <v>963</v>
      </c>
      <c r="C466" s="3" t="s">
        <v>124</v>
      </c>
      <c r="D466" s="3">
        <v>800</v>
      </c>
      <c r="E466" s="3">
        <v>8</v>
      </c>
      <c r="F466" s="3">
        <v>6000</v>
      </c>
      <c r="G466" s="3">
        <v>50</v>
      </c>
      <c r="H466" s="3">
        <v>0</v>
      </c>
      <c r="I466" s="3" t="s">
        <v>16</v>
      </c>
      <c r="J466" s="3">
        <v>72</v>
      </c>
      <c r="K466" s="3">
        <v>58</v>
      </c>
      <c r="L466" s="3">
        <v>0</v>
      </c>
      <c r="M466" s="3">
        <v>1.79</v>
      </c>
      <c r="N466" s="3" t="s">
        <v>964</v>
      </c>
      <c r="O466" s="6"/>
    </row>
    <row r="467" spans="1:15" x14ac:dyDescent="0.25">
      <c r="A467" s="3" t="s">
        <v>13</v>
      </c>
      <c r="B467" s="3" t="s">
        <v>970</v>
      </c>
      <c r="C467" s="3" t="s">
        <v>89</v>
      </c>
      <c r="D467" s="3">
        <v>500</v>
      </c>
      <c r="E467" s="3">
        <v>4</v>
      </c>
      <c r="F467" s="3">
        <v>11000</v>
      </c>
      <c r="G467" s="3">
        <v>50</v>
      </c>
      <c r="H467" s="3">
        <v>0</v>
      </c>
      <c r="I467" s="3" t="s">
        <v>16</v>
      </c>
      <c r="J467" s="3">
        <v>48</v>
      </c>
      <c r="K467" s="3">
        <v>38</v>
      </c>
      <c r="L467" s="3">
        <v>0</v>
      </c>
      <c r="M467" s="3">
        <v>1.79</v>
      </c>
      <c r="N467" s="3" t="s">
        <v>965</v>
      </c>
      <c r="O467" s="6"/>
    </row>
    <row r="468" spans="1:15" x14ac:dyDescent="0.25">
      <c r="O468" s="6"/>
    </row>
    <row r="469" spans="1:15" x14ac:dyDescent="0.25">
      <c r="O469" s="6"/>
    </row>
    <row r="470" spans="1:15" x14ac:dyDescent="0.25">
      <c r="O470" s="6"/>
    </row>
    <row r="471" spans="1:15" x14ac:dyDescent="0.25">
      <c r="O471" s="6"/>
    </row>
    <row r="472" spans="1:15" x14ac:dyDescent="0.25">
      <c r="O472" s="6"/>
    </row>
    <row r="473" spans="1:15" x14ac:dyDescent="0.25">
      <c r="O473" s="6"/>
    </row>
    <row r="474" spans="1:15" x14ac:dyDescent="0.25">
      <c r="O474" s="6"/>
    </row>
    <row r="475" spans="1:15" x14ac:dyDescent="0.25">
      <c r="O475" s="6"/>
    </row>
    <row r="476" spans="1:15" x14ac:dyDescent="0.25">
      <c r="O476" s="6"/>
    </row>
    <row r="477" spans="1:15" x14ac:dyDescent="0.25">
      <c r="O477" s="6"/>
    </row>
    <row r="478" spans="1:15" x14ac:dyDescent="0.25">
      <c r="O478" s="6"/>
    </row>
    <row r="479" spans="1:15" x14ac:dyDescent="0.25">
      <c r="O479" s="6"/>
    </row>
    <row r="480" spans="1:15" x14ac:dyDescent="0.25">
      <c r="O480" s="6"/>
    </row>
    <row r="481" spans="15:15" x14ac:dyDescent="0.25">
      <c r="O481" s="6"/>
    </row>
    <row r="482" spans="15:15" x14ac:dyDescent="0.25">
      <c r="O482" s="6"/>
    </row>
    <row r="483" spans="15:15" x14ac:dyDescent="0.25">
      <c r="O483" s="6"/>
    </row>
    <row r="484" spans="15:15" x14ac:dyDescent="0.25">
      <c r="O484" s="6"/>
    </row>
    <row r="485" spans="15:15" x14ac:dyDescent="0.25">
      <c r="O485" s="6"/>
    </row>
    <row r="486" spans="15:15" x14ac:dyDescent="0.25">
      <c r="O486" s="6"/>
    </row>
    <row r="487" spans="15:15" x14ac:dyDescent="0.25">
      <c r="O487" s="6"/>
    </row>
    <row r="488" spans="15:15" x14ac:dyDescent="0.25">
      <c r="O488" s="6"/>
    </row>
    <row r="489" spans="15:15" x14ac:dyDescent="0.25">
      <c r="O489" s="6"/>
    </row>
    <row r="490" spans="15:15" x14ac:dyDescent="0.25">
      <c r="O490" s="6"/>
    </row>
    <row r="491" spans="15:15" x14ac:dyDescent="0.25">
      <c r="O491" s="6"/>
    </row>
    <row r="492" spans="15:15" x14ac:dyDescent="0.25">
      <c r="O492" s="6"/>
    </row>
    <row r="493" spans="15:15" x14ac:dyDescent="0.25">
      <c r="O493" s="6"/>
    </row>
    <row r="494" spans="15:15" x14ac:dyDescent="0.25">
      <c r="O494" s="6"/>
    </row>
    <row r="495" spans="15:15" x14ac:dyDescent="0.25">
      <c r="O495" s="6"/>
    </row>
    <row r="496" spans="15:15" x14ac:dyDescent="0.25">
      <c r="O496" s="6"/>
    </row>
    <row r="497" spans="15:15" x14ac:dyDescent="0.25">
      <c r="O497" s="6"/>
    </row>
    <row r="498" spans="15:15" x14ac:dyDescent="0.25">
      <c r="O498" s="6"/>
    </row>
    <row r="499" spans="15:15" x14ac:dyDescent="0.25">
      <c r="O499" s="6"/>
    </row>
    <row r="500" spans="15:15" x14ac:dyDescent="0.25">
      <c r="O500" s="6"/>
    </row>
    <row r="501" spans="15:15" x14ac:dyDescent="0.25">
      <c r="O501" s="6"/>
    </row>
    <row r="502" spans="15:15" x14ac:dyDescent="0.25">
      <c r="O502" s="6"/>
    </row>
    <row r="503" spans="15:15" x14ac:dyDescent="0.25">
      <c r="O503" s="6"/>
    </row>
    <row r="504" spans="15:15" x14ac:dyDescent="0.25">
      <c r="O504" s="6"/>
    </row>
    <row r="505" spans="15:15" x14ac:dyDescent="0.25">
      <c r="O505" s="6"/>
    </row>
    <row r="506" spans="15:15" x14ac:dyDescent="0.25">
      <c r="O506" s="6"/>
    </row>
    <row r="507" spans="15:15" x14ac:dyDescent="0.25">
      <c r="O507" s="6"/>
    </row>
    <row r="508" spans="15:15" x14ac:dyDescent="0.25">
      <c r="O508" s="6"/>
    </row>
    <row r="509" spans="15:15" x14ac:dyDescent="0.25">
      <c r="O509" s="6"/>
    </row>
    <row r="510" spans="15:15" x14ac:dyDescent="0.25">
      <c r="O510" s="6"/>
    </row>
    <row r="511" spans="15:15" x14ac:dyDescent="0.25">
      <c r="O511" s="6"/>
    </row>
    <row r="512" spans="15:15" x14ac:dyDescent="0.25">
      <c r="O512" s="6"/>
    </row>
    <row r="513" spans="15:15" x14ac:dyDescent="0.25">
      <c r="O513" s="6"/>
    </row>
    <row r="514" spans="15:15" x14ac:dyDescent="0.25">
      <c r="O514" s="6"/>
    </row>
    <row r="515" spans="15:15" x14ac:dyDescent="0.25">
      <c r="O515" s="6"/>
    </row>
    <row r="516" spans="15:15" x14ac:dyDescent="0.25">
      <c r="O516" s="6"/>
    </row>
    <row r="517" spans="15:15" x14ac:dyDescent="0.25">
      <c r="O517" s="6"/>
    </row>
    <row r="518" spans="15:15" x14ac:dyDescent="0.25">
      <c r="O518" s="6"/>
    </row>
    <row r="519" spans="15:15" x14ac:dyDescent="0.25">
      <c r="O519" s="6"/>
    </row>
    <row r="520" spans="15:15" x14ac:dyDescent="0.25">
      <c r="O520" s="6"/>
    </row>
    <row r="521" spans="15:15" x14ac:dyDescent="0.25">
      <c r="O521" s="6"/>
    </row>
    <row r="522" spans="15:15" x14ac:dyDescent="0.25">
      <c r="O522" s="6"/>
    </row>
    <row r="523" spans="15:15" x14ac:dyDescent="0.25">
      <c r="O523" s="6"/>
    </row>
    <row r="524" spans="15:15" x14ac:dyDescent="0.25">
      <c r="O524" s="6"/>
    </row>
    <row r="525" spans="15:15" x14ac:dyDescent="0.25">
      <c r="O525" s="6"/>
    </row>
    <row r="526" spans="15:15" x14ac:dyDescent="0.25">
      <c r="O526" s="6"/>
    </row>
    <row r="527" spans="15:15" x14ac:dyDescent="0.25">
      <c r="O527" s="6"/>
    </row>
    <row r="528" spans="15:15" x14ac:dyDescent="0.25">
      <c r="O528" s="6"/>
    </row>
    <row r="529" spans="15:15" x14ac:dyDescent="0.25">
      <c r="O529" s="6"/>
    </row>
    <row r="530" spans="15:15" x14ac:dyDescent="0.25">
      <c r="O530" s="6"/>
    </row>
    <row r="531" spans="15:15" x14ac:dyDescent="0.25">
      <c r="O531" s="6"/>
    </row>
    <row r="532" spans="15:15" x14ac:dyDescent="0.25">
      <c r="O532" s="6"/>
    </row>
    <row r="533" spans="15:15" x14ac:dyDescent="0.25">
      <c r="O533" s="6"/>
    </row>
    <row r="534" spans="15:15" x14ac:dyDescent="0.25">
      <c r="O534" s="6"/>
    </row>
    <row r="535" spans="15:15" x14ac:dyDescent="0.25">
      <c r="O535" s="6"/>
    </row>
    <row r="536" spans="15:15" x14ac:dyDescent="0.25">
      <c r="O536" s="6"/>
    </row>
    <row r="537" spans="15:15" x14ac:dyDescent="0.25">
      <c r="O537" s="6"/>
    </row>
    <row r="538" spans="15:15" x14ac:dyDescent="0.25">
      <c r="O538" s="6"/>
    </row>
    <row r="539" spans="15:15" x14ac:dyDescent="0.25">
      <c r="O539" s="6"/>
    </row>
    <row r="540" spans="15:15" x14ac:dyDescent="0.25">
      <c r="O540" s="6"/>
    </row>
    <row r="541" spans="15:15" x14ac:dyDescent="0.25">
      <c r="O541" s="6"/>
    </row>
    <row r="542" spans="15:15" x14ac:dyDescent="0.25">
      <c r="O542" s="6"/>
    </row>
    <row r="543" spans="15:15" x14ac:dyDescent="0.25">
      <c r="O543" s="6"/>
    </row>
    <row r="544" spans="15:15" x14ac:dyDescent="0.25">
      <c r="O544" s="6"/>
    </row>
    <row r="545" spans="15:15" x14ac:dyDescent="0.25">
      <c r="O545" s="6"/>
    </row>
    <row r="546" spans="15:15" x14ac:dyDescent="0.25">
      <c r="O546" s="6"/>
    </row>
    <row r="547" spans="15:15" x14ac:dyDescent="0.25">
      <c r="O547" s="6"/>
    </row>
    <row r="548" spans="15:15" x14ac:dyDescent="0.25">
      <c r="O548" s="6"/>
    </row>
    <row r="549" spans="15:15" x14ac:dyDescent="0.25">
      <c r="O549" s="6"/>
    </row>
    <row r="550" spans="15:15" x14ac:dyDescent="0.25">
      <c r="O550" s="6"/>
    </row>
    <row r="551" spans="15:15" x14ac:dyDescent="0.25">
      <c r="O551" s="6"/>
    </row>
    <row r="552" spans="15:15" x14ac:dyDescent="0.25">
      <c r="O552" s="6"/>
    </row>
    <row r="553" spans="15:15" x14ac:dyDescent="0.25">
      <c r="O553" s="6"/>
    </row>
    <row r="554" spans="15:15" x14ac:dyDescent="0.25">
      <c r="O554" s="6"/>
    </row>
    <row r="555" spans="15:15" x14ac:dyDescent="0.25">
      <c r="O555" s="6"/>
    </row>
    <row r="556" spans="15:15" x14ac:dyDescent="0.25">
      <c r="O556" s="6"/>
    </row>
    <row r="557" spans="15:15" x14ac:dyDescent="0.25">
      <c r="O557" s="6"/>
    </row>
    <row r="558" spans="15:15" x14ac:dyDescent="0.25">
      <c r="O558" s="6"/>
    </row>
    <row r="559" spans="15:15" x14ac:dyDescent="0.25">
      <c r="O559" s="6"/>
    </row>
    <row r="560" spans="15:15" x14ac:dyDescent="0.25">
      <c r="O560" s="6"/>
    </row>
    <row r="561" spans="15:15" x14ac:dyDescent="0.25">
      <c r="O561" s="6"/>
    </row>
    <row r="562" spans="15:15" x14ac:dyDescent="0.25">
      <c r="O562" s="6"/>
    </row>
    <row r="563" spans="15:15" x14ac:dyDescent="0.25">
      <c r="O563" s="6"/>
    </row>
    <row r="564" spans="15:15" x14ac:dyDescent="0.25">
      <c r="O564" s="6"/>
    </row>
    <row r="565" spans="15:15" x14ac:dyDescent="0.25">
      <c r="O565" s="6"/>
    </row>
    <row r="566" spans="15:15" x14ac:dyDescent="0.25">
      <c r="O566" s="6"/>
    </row>
    <row r="567" spans="15:15" x14ac:dyDescent="0.25">
      <c r="O567" s="6"/>
    </row>
    <row r="568" spans="15:15" x14ac:dyDescent="0.25">
      <c r="O568" s="6"/>
    </row>
    <row r="569" spans="15:15" x14ac:dyDescent="0.25">
      <c r="O569" s="6"/>
    </row>
    <row r="570" spans="15:15" x14ac:dyDescent="0.25">
      <c r="O570" s="6"/>
    </row>
    <row r="571" spans="15:15" x14ac:dyDescent="0.25">
      <c r="O571" s="6"/>
    </row>
    <row r="572" spans="15:15" x14ac:dyDescent="0.25">
      <c r="O572" s="6"/>
    </row>
    <row r="573" spans="15:15" x14ac:dyDescent="0.25">
      <c r="O573" s="6"/>
    </row>
    <row r="574" spans="15:15" x14ac:dyDescent="0.25">
      <c r="O574" s="6"/>
    </row>
    <row r="575" spans="15:15" x14ac:dyDescent="0.25">
      <c r="O575" s="6"/>
    </row>
    <row r="576" spans="15:15" x14ac:dyDescent="0.25">
      <c r="O576" s="6"/>
    </row>
    <row r="577" spans="15:15" x14ac:dyDescent="0.25">
      <c r="O577" s="6"/>
    </row>
    <row r="578" spans="15:15" x14ac:dyDescent="0.25">
      <c r="O578" s="6"/>
    </row>
    <row r="579" spans="15:15" x14ac:dyDescent="0.25">
      <c r="O579" s="6"/>
    </row>
    <row r="580" spans="15:15" x14ac:dyDescent="0.25">
      <c r="O580" s="6"/>
    </row>
    <row r="581" spans="15:15" x14ac:dyDescent="0.25">
      <c r="O581" s="6"/>
    </row>
    <row r="582" spans="15:15" x14ac:dyDescent="0.25">
      <c r="O582" s="6"/>
    </row>
    <row r="583" spans="15:15" x14ac:dyDescent="0.25">
      <c r="O583" s="6"/>
    </row>
    <row r="584" spans="15:15" x14ac:dyDescent="0.25">
      <c r="O584" s="6"/>
    </row>
    <row r="585" spans="15:15" x14ac:dyDescent="0.25">
      <c r="O585" s="6"/>
    </row>
    <row r="586" spans="15:15" x14ac:dyDescent="0.25">
      <c r="O586" s="6"/>
    </row>
    <row r="587" spans="15:15" x14ac:dyDescent="0.25">
      <c r="O587" s="6"/>
    </row>
    <row r="588" spans="15:15" x14ac:dyDescent="0.25">
      <c r="O588" s="6"/>
    </row>
    <row r="589" spans="15:15" x14ac:dyDescent="0.25">
      <c r="O589" s="6"/>
    </row>
    <row r="590" spans="15:15" x14ac:dyDescent="0.25">
      <c r="O590" s="6"/>
    </row>
    <row r="591" spans="15:15" x14ac:dyDescent="0.25">
      <c r="O591" s="6"/>
    </row>
    <row r="592" spans="15:15" x14ac:dyDescent="0.25">
      <c r="O592" s="6"/>
    </row>
    <row r="593" spans="15:15" x14ac:dyDescent="0.25">
      <c r="O593" s="6"/>
    </row>
    <row r="594" spans="15:15" x14ac:dyDescent="0.25">
      <c r="O594" s="6"/>
    </row>
    <row r="595" spans="15:15" x14ac:dyDescent="0.25">
      <c r="O595" s="6"/>
    </row>
    <row r="596" spans="15:15" x14ac:dyDescent="0.25">
      <c r="O596" s="6"/>
    </row>
    <row r="597" spans="15:15" x14ac:dyDescent="0.25">
      <c r="O597" s="6"/>
    </row>
    <row r="598" spans="15:15" x14ac:dyDescent="0.25">
      <c r="O598" s="6"/>
    </row>
    <row r="599" spans="15:15" x14ac:dyDescent="0.25">
      <c r="O599" s="6"/>
    </row>
    <row r="600" spans="15:15" x14ac:dyDescent="0.25">
      <c r="O600" s="6"/>
    </row>
    <row r="601" spans="15:15" x14ac:dyDescent="0.25">
      <c r="O601" s="6"/>
    </row>
    <row r="602" spans="15:15" x14ac:dyDescent="0.25">
      <c r="O602" s="6"/>
    </row>
    <row r="603" spans="15:15" x14ac:dyDescent="0.25">
      <c r="O603" s="6"/>
    </row>
    <row r="604" spans="15:15" x14ac:dyDescent="0.25">
      <c r="O604" s="6"/>
    </row>
    <row r="605" spans="15:15" x14ac:dyDescent="0.25">
      <c r="O605" s="6"/>
    </row>
    <row r="606" spans="15:15" x14ac:dyDescent="0.25">
      <c r="O606" s="6"/>
    </row>
    <row r="607" spans="15:15" x14ac:dyDescent="0.25">
      <c r="O607" s="6"/>
    </row>
    <row r="608" spans="15:15" x14ac:dyDescent="0.25">
      <c r="O608" s="6"/>
    </row>
    <row r="609" spans="15:15" x14ac:dyDescent="0.25">
      <c r="O609" s="6"/>
    </row>
    <row r="610" spans="15:15" x14ac:dyDescent="0.25">
      <c r="O610" s="6"/>
    </row>
    <row r="611" spans="15:15" x14ac:dyDescent="0.25">
      <c r="O611" s="6"/>
    </row>
    <row r="612" spans="15:15" x14ac:dyDescent="0.25">
      <c r="O612" s="6"/>
    </row>
    <row r="613" spans="15:15" x14ac:dyDescent="0.25">
      <c r="O613" s="6"/>
    </row>
    <row r="614" spans="15:15" x14ac:dyDescent="0.25">
      <c r="O614" s="6"/>
    </row>
    <row r="615" spans="15:15" x14ac:dyDescent="0.25">
      <c r="O615" s="6"/>
    </row>
    <row r="616" spans="15:15" x14ac:dyDescent="0.25">
      <c r="O616" s="6"/>
    </row>
    <row r="617" spans="15:15" x14ac:dyDescent="0.25">
      <c r="O617" s="6"/>
    </row>
    <row r="618" spans="15:15" x14ac:dyDescent="0.25">
      <c r="O618" s="6"/>
    </row>
    <row r="619" spans="15:15" x14ac:dyDescent="0.25">
      <c r="O619" s="6"/>
    </row>
    <row r="620" spans="15:15" x14ac:dyDescent="0.25">
      <c r="O620" s="6"/>
    </row>
    <row r="621" spans="15:15" x14ac:dyDescent="0.25">
      <c r="O621" s="6"/>
    </row>
    <row r="622" spans="15:15" x14ac:dyDescent="0.25">
      <c r="O622" s="6"/>
    </row>
    <row r="623" spans="15:15" x14ac:dyDescent="0.25">
      <c r="O623" s="6"/>
    </row>
    <row r="624" spans="15:15" x14ac:dyDescent="0.25">
      <c r="O624" s="6"/>
    </row>
    <row r="625" spans="15:15" x14ac:dyDescent="0.25">
      <c r="O625" s="6"/>
    </row>
    <row r="626" spans="15:15" x14ac:dyDescent="0.25">
      <c r="O626" s="6"/>
    </row>
    <row r="627" spans="15:15" x14ac:dyDescent="0.25">
      <c r="O627" s="6"/>
    </row>
    <row r="628" spans="15:15" x14ac:dyDescent="0.25">
      <c r="O628" s="6"/>
    </row>
    <row r="629" spans="15:15" x14ac:dyDescent="0.25">
      <c r="O629" s="6"/>
    </row>
    <row r="630" spans="15:15" x14ac:dyDescent="0.25">
      <c r="O630" s="6"/>
    </row>
    <row r="631" spans="15:15" x14ac:dyDescent="0.25">
      <c r="O631" s="6"/>
    </row>
    <row r="632" spans="15:15" x14ac:dyDescent="0.25">
      <c r="O632" s="6"/>
    </row>
    <row r="633" spans="15:15" x14ac:dyDescent="0.25">
      <c r="O633" s="6"/>
    </row>
    <row r="634" spans="15:15" x14ac:dyDescent="0.25">
      <c r="O634" s="6"/>
    </row>
    <row r="635" spans="15:15" x14ac:dyDescent="0.25">
      <c r="O635" s="6"/>
    </row>
    <row r="636" spans="15:15" x14ac:dyDescent="0.25">
      <c r="O636" s="6"/>
    </row>
    <row r="637" spans="15:15" x14ac:dyDescent="0.25">
      <c r="O637" s="6"/>
    </row>
    <row r="638" spans="15:15" x14ac:dyDescent="0.25">
      <c r="O638" s="6"/>
    </row>
    <row r="639" spans="15:15" x14ac:dyDescent="0.25">
      <c r="O639" s="6"/>
    </row>
    <row r="640" spans="15:15" x14ac:dyDescent="0.25">
      <c r="O640" s="6"/>
    </row>
    <row r="641" spans="15:15" x14ac:dyDescent="0.25">
      <c r="O641" s="6"/>
    </row>
    <row r="642" spans="15:15" x14ac:dyDescent="0.25">
      <c r="O642" s="6"/>
    </row>
    <row r="643" spans="15:15" x14ac:dyDescent="0.25">
      <c r="O643" s="6"/>
    </row>
    <row r="644" spans="15:15" x14ac:dyDescent="0.25">
      <c r="O644" s="6"/>
    </row>
    <row r="645" spans="15:15" x14ac:dyDescent="0.25">
      <c r="O645" s="6"/>
    </row>
    <row r="646" spans="15:15" x14ac:dyDescent="0.25">
      <c r="O646" s="6"/>
    </row>
    <row r="647" spans="15:15" x14ac:dyDescent="0.25">
      <c r="O647" s="6"/>
    </row>
    <row r="648" spans="15:15" x14ac:dyDescent="0.25">
      <c r="O648" s="6"/>
    </row>
    <row r="649" spans="15:15" x14ac:dyDescent="0.25">
      <c r="O649" s="6"/>
    </row>
    <row r="650" spans="15:15" x14ac:dyDescent="0.25">
      <c r="O650" s="6"/>
    </row>
    <row r="651" spans="15:15" x14ac:dyDescent="0.25">
      <c r="O651" s="6"/>
    </row>
    <row r="652" spans="15:15" x14ac:dyDescent="0.25">
      <c r="O652" s="6"/>
    </row>
    <row r="653" spans="15:15" x14ac:dyDescent="0.25">
      <c r="O653" s="6"/>
    </row>
    <row r="654" spans="15:15" x14ac:dyDescent="0.25">
      <c r="O654" s="6"/>
    </row>
    <row r="655" spans="15:15" x14ac:dyDescent="0.25">
      <c r="O655" s="6"/>
    </row>
    <row r="656" spans="15:15" x14ac:dyDescent="0.25">
      <c r="O656" s="6"/>
    </row>
    <row r="657" spans="15:15" x14ac:dyDescent="0.25">
      <c r="O657" s="6"/>
    </row>
    <row r="658" spans="15:15" x14ac:dyDescent="0.25">
      <c r="O658" s="6"/>
    </row>
    <row r="659" spans="15:15" x14ac:dyDescent="0.25">
      <c r="O659" s="6"/>
    </row>
    <row r="660" spans="15:15" x14ac:dyDescent="0.25">
      <c r="O660" s="6"/>
    </row>
    <row r="661" spans="15:15" x14ac:dyDescent="0.25">
      <c r="O661" s="6"/>
    </row>
    <row r="662" spans="15:15" x14ac:dyDescent="0.25">
      <c r="O662" s="6"/>
    </row>
    <row r="663" spans="15:15" x14ac:dyDescent="0.25">
      <c r="O663" s="6"/>
    </row>
    <row r="664" spans="15:15" x14ac:dyDescent="0.25">
      <c r="O664" s="6"/>
    </row>
    <row r="665" spans="15:15" x14ac:dyDescent="0.25">
      <c r="O665" s="6"/>
    </row>
    <row r="666" spans="15:15" x14ac:dyDescent="0.25">
      <c r="O666" s="6"/>
    </row>
    <row r="667" spans="15:15" x14ac:dyDescent="0.25">
      <c r="O667" s="6"/>
    </row>
    <row r="668" spans="15:15" x14ac:dyDescent="0.25">
      <c r="O668" s="6"/>
    </row>
    <row r="669" spans="15:15" x14ac:dyDescent="0.25">
      <c r="O669" s="6"/>
    </row>
    <row r="670" spans="15:15" x14ac:dyDescent="0.25">
      <c r="O670" s="6"/>
    </row>
    <row r="671" spans="15:15" x14ac:dyDescent="0.25">
      <c r="O671" s="6"/>
    </row>
    <row r="672" spans="15:15" x14ac:dyDescent="0.25">
      <c r="O672" s="6"/>
    </row>
    <row r="673" spans="15:15" x14ac:dyDescent="0.25">
      <c r="O673" s="6"/>
    </row>
    <row r="674" spans="15:15" x14ac:dyDescent="0.25">
      <c r="O674" s="6"/>
    </row>
    <row r="675" spans="15:15" x14ac:dyDescent="0.25">
      <c r="O675" s="6"/>
    </row>
    <row r="676" spans="15:15" x14ac:dyDescent="0.25">
      <c r="O676" s="6"/>
    </row>
    <row r="677" spans="15:15" x14ac:dyDescent="0.25">
      <c r="O677" s="6"/>
    </row>
    <row r="678" spans="15:15" x14ac:dyDescent="0.25">
      <c r="O678" s="6"/>
    </row>
    <row r="679" spans="15:15" x14ac:dyDescent="0.25">
      <c r="O679" s="6"/>
    </row>
    <row r="680" spans="15:15" x14ac:dyDescent="0.25">
      <c r="O680" s="6"/>
    </row>
    <row r="681" spans="15:15" x14ac:dyDescent="0.25">
      <c r="O681" s="6"/>
    </row>
    <row r="682" spans="15:15" x14ac:dyDescent="0.25">
      <c r="O682" s="6"/>
    </row>
    <row r="683" spans="15:15" x14ac:dyDescent="0.25">
      <c r="O683" s="6"/>
    </row>
    <row r="684" spans="15:15" x14ac:dyDescent="0.25">
      <c r="O684" s="6"/>
    </row>
    <row r="685" spans="15:15" x14ac:dyDescent="0.25">
      <c r="O685" s="6"/>
    </row>
    <row r="686" spans="15:15" x14ac:dyDescent="0.25">
      <c r="O686" s="6"/>
    </row>
    <row r="687" spans="15:15" x14ac:dyDescent="0.25">
      <c r="O687" s="6"/>
    </row>
    <row r="688" spans="15:15" x14ac:dyDescent="0.25">
      <c r="O688" s="6"/>
    </row>
    <row r="689" spans="15:15" x14ac:dyDescent="0.25">
      <c r="O689" s="6"/>
    </row>
    <row r="690" spans="15:15" x14ac:dyDescent="0.25">
      <c r="O690" s="6"/>
    </row>
    <row r="691" spans="15:15" x14ac:dyDescent="0.25">
      <c r="O691" s="6"/>
    </row>
    <row r="692" spans="15:15" x14ac:dyDescent="0.25">
      <c r="O692" s="6"/>
    </row>
    <row r="693" spans="15:15" x14ac:dyDescent="0.25">
      <c r="O693" s="6"/>
    </row>
    <row r="694" spans="15:15" x14ac:dyDescent="0.25">
      <c r="O694" s="6"/>
    </row>
    <row r="695" spans="15:15" x14ac:dyDescent="0.25">
      <c r="O695" s="6"/>
    </row>
    <row r="696" spans="15:15" x14ac:dyDescent="0.25">
      <c r="O696" s="6"/>
    </row>
    <row r="697" spans="15:15" x14ac:dyDescent="0.25">
      <c r="O697" s="6"/>
    </row>
    <row r="698" spans="15:15" x14ac:dyDescent="0.25">
      <c r="O698" s="6"/>
    </row>
    <row r="699" spans="15:15" x14ac:dyDescent="0.25">
      <c r="O699" s="6"/>
    </row>
    <row r="700" spans="15:15" x14ac:dyDescent="0.25">
      <c r="O700" s="6"/>
    </row>
    <row r="701" spans="15:15" x14ac:dyDescent="0.25">
      <c r="O701" s="6"/>
    </row>
    <row r="702" spans="15:15" x14ac:dyDescent="0.25">
      <c r="O702" s="6"/>
    </row>
    <row r="703" spans="15:15" x14ac:dyDescent="0.25">
      <c r="O703" s="6"/>
    </row>
    <row r="704" spans="15:15" x14ac:dyDescent="0.25">
      <c r="O704" s="6"/>
    </row>
    <row r="705" spans="15:15" x14ac:dyDescent="0.25">
      <c r="O705" s="6"/>
    </row>
    <row r="706" spans="15:15" x14ac:dyDescent="0.25">
      <c r="O706" s="6"/>
    </row>
    <row r="707" spans="15:15" x14ac:dyDescent="0.25">
      <c r="O707" s="6"/>
    </row>
    <row r="708" spans="15:15" x14ac:dyDescent="0.25">
      <c r="O708" s="6"/>
    </row>
    <row r="709" spans="15:15" x14ac:dyDescent="0.25">
      <c r="O709" s="6"/>
    </row>
  </sheetData>
  <autoFilter ref="A8:N467"/>
  <mergeCells count="3">
    <mergeCell ref="Y6:Z6"/>
    <mergeCell ref="Y7:Z7"/>
    <mergeCell ref="Y8:Z8"/>
  </mergeCells>
  <pageMargins left="0.7" right="0.7" top="0.75" bottom="0.75" header="0.3" footer="0.3"/>
  <pageSetup paperSize="307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253"/>
  <sheetViews>
    <sheetView tabSelected="1" workbookViewId="0">
      <pane ySplit="7" topLeftCell="A127" activePane="bottomLeft" state="frozen"/>
      <selection pane="bottomLeft" activeCell="B6" sqref="B6"/>
    </sheetView>
  </sheetViews>
  <sheetFormatPr defaultRowHeight="15" x14ac:dyDescent="0.25"/>
  <cols>
    <col min="1" max="1" width="10.85546875" style="16" customWidth="1"/>
    <col min="2" max="2" width="17" style="15" customWidth="1"/>
    <col min="3" max="3" width="10.42578125" customWidth="1"/>
    <col min="17" max="17" width="9.42578125" customWidth="1"/>
  </cols>
  <sheetData>
    <row r="1" spans="1:18" x14ac:dyDescent="0.25">
      <c r="A1" s="25" t="str">
        <f>IF('Designs Log'!S6 = "",'Designs Log'!S3,'Designs Log'!S6)</f>
        <v>2017</v>
      </c>
      <c r="B1" s="26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8"/>
      <c r="Q1" s="4"/>
      <c r="R1" s="3"/>
    </row>
    <row r="2" spans="1:18" x14ac:dyDescent="0.25">
      <c r="A2" s="29"/>
      <c r="B2" s="30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31"/>
      <c r="Q2" s="4"/>
      <c r="R2" s="3"/>
    </row>
    <row r="3" spans="1:18" x14ac:dyDescent="0.25">
      <c r="A3" s="29"/>
      <c r="B3" s="30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46" t="s">
        <v>1480</v>
      </c>
      <c r="O3" s="47" t="b">
        <v>1</v>
      </c>
      <c r="P3" s="48"/>
      <c r="Q3" s="4"/>
      <c r="R3" s="3"/>
    </row>
    <row r="4" spans="1:18" x14ac:dyDescent="0.25">
      <c r="A4" s="29"/>
      <c r="B4" s="30"/>
      <c r="C4" s="22"/>
      <c r="D4" s="22"/>
      <c r="E4" s="42"/>
      <c r="F4" s="22"/>
      <c r="G4" s="22"/>
      <c r="H4" s="22"/>
      <c r="I4" s="22"/>
      <c r="J4" s="22"/>
      <c r="K4" s="22"/>
      <c r="L4" s="22"/>
      <c r="M4" s="22"/>
      <c r="N4" s="46" t="s">
        <v>1479</v>
      </c>
      <c r="O4" s="49" t="b">
        <v>0</v>
      </c>
      <c r="P4" s="49"/>
      <c r="Q4" s="4"/>
      <c r="R4" s="3"/>
    </row>
    <row r="5" spans="1:18" ht="15.75" x14ac:dyDescent="0.25">
      <c r="A5" s="29"/>
      <c r="B5" s="45" t="str">
        <f ca="1">M7 &amp; " : " &amp; L7</f>
        <v>wslotr : 9.7</v>
      </c>
      <c r="C5" s="45"/>
      <c r="D5" s="18"/>
      <c r="E5" s="18"/>
      <c r="F5" s="22"/>
      <c r="G5" s="22"/>
      <c r="H5" s="22"/>
      <c r="I5" s="22"/>
      <c r="J5" s="22"/>
      <c r="K5" s="22"/>
      <c r="L5" s="22"/>
      <c r="M5" s="22"/>
      <c r="N5" s="46" t="s">
        <v>1478</v>
      </c>
      <c r="O5" s="49" t="b">
        <v>1</v>
      </c>
      <c r="P5" s="50" t="str">
        <f>"$B$" &amp; P6</f>
        <v>$B$130</v>
      </c>
      <c r="Q5" s="4"/>
      <c r="R5" s="3"/>
    </row>
    <row r="6" spans="1:18" ht="15.75" x14ac:dyDescent="0.25">
      <c r="A6" s="32"/>
      <c r="B6" s="43"/>
      <c r="C6" s="51"/>
      <c r="D6" s="44"/>
      <c r="E6" s="44"/>
      <c r="F6" s="44"/>
      <c r="G6" s="22"/>
      <c r="H6" s="22"/>
      <c r="I6" s="22"/>
      <c r="J6" s="22"/>
      <c r="K6" s="22"/>
      <c r="L6" s="22"/>
      <c r="M6" s="22"/>
      <c r="N6" s="46" t="s">
        <v>1473</v>
      </c>
      <c r="O6" s="46" t="b">
        <f ca="1">ISERROR(O7)</f>
        <v>0</v>
      </c>
      <c r="P6" s="50">
        <f>LOOKUP(1,Q8:Q246,R8:R246)</f>
        <v>130</v>
      </c>
      <c r="Q6" s="4"/>
      <c r="R6" s="3"/>
    </row>
    <row r="7" spans="1:18" x14ac:dyDescent="0.25">
      <c r="A7" s="29"/>
      <c r="B7" s="30"/>
      <c r="C7" s="22"/>
      <c r="D7" s="22"/>
      <c r="E7" s="22"/>
      <c r="F7" s="22"/>
      <c r="G7" s="22"/>
      <c r="H7" s="22"/>
      <c r="I7" s="22"/>
      <c r="J7" s="22"/>
      <c r="K7" s="22"/>
      <c r="L7" s="46">
        <f ca="1">INDIRECT(P5)</f>
        <v>9.6999999999999993</v>
      </c>
      <c r="M7" s="46" t="s">
        <v>1477</v>
      </c>
      <c r="N7" s="46" t="s">
        <v>1476</v>
      </c>
      <c r="O7" s="46" t="str">
        <f ca="1">CELL("address",INDEX(Q8:Q246,MATCH(1,Q8:Q246,0),0))</f>
        <v>$Q$130</v>
      </c>
      <c r="P7" s="50" t="str">
        <f>M7 &amp; " : "</f>
        <v xml:space="preserve">wslotr : </v>
      </c>
      <c r="Q7" s="4"/>
      <c r="R7" s="3"/>
    </row>
    <row r="8" spans="1:18" x14ac:dyDescent="0.25">
      <c r="A8" s="33" t="s">
        <v>1472</v>
      </c>
      <c r="B8" s="23" t="s">
        <v>13</v>
      </c>
      <c r="C8" s="22"/>
      <c r="D8" s="34" t="s">
        <v>1196</v>
      </c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5"/>
      <c r="Q8" s="3" t="str">
        <f>IF($P$7=A8,1,"")</f>
        <v/>
      </c>
      <c r="R8" s="3">
        <v>8</v>
      </c>
    </row>
    <row r="9" spans="1:18" x14ac:dyDescent="0.25">
      <c r="A9" s="33" t="s">
        <v>1237</v>
      </c>
      <c r="B9" s="23" t="s">
        <v>32</v>
      </c>
      <c r="C9" s="22"/>
      <c r="D9" s="34" t="s">
        <v>972</v>
      </c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5"/>
      <c r="Q9" s="3" t="str">
        <f t="shared" ref="Q9:Q72" si="0">IF($P$7=A9,1,"")</f>
        <v/>
      </c>
      <c r="R9" s="3">
        <v>9</v>
      </c>
    </row>
    <row r="10" spans="1:18" x14ac:dyDescent="0.25">
      <c r="A10" s="33" t="s">
        <v>1238</v>
      </c>
      <c r="B10" s="23" t="s">
        <v>1467</v>
      </c>
      <c r="C10" s="22"/>
      <c r="D10" s="34" t="s">
        <v>973</v>
      </c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5"/>
      <c r="Q10" s="3" t="str">
        <f t="shared" si="0"/>
        <v/>
      </c>
      <c r="R10" s="3">
        <v>10</v>
      </c>
    </row>
    <row r="11" spans="1:18" x14ac:dyDescent="0.25">
      <c r="A11" s="33" t="s">
        <v>1239</v>
      </c>
      <c r="B11" s="23">
        <v>0</v>
      </c>
      <c r="C11" s="22"/>
      <c r="D11" s="34" t="s">
        <v>1197</v>
      </c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5"/>
      <c r="Q11" s="3" t="str">
        <f t="shared" si="0"/>
        <v/>
      </c>
      <c r="R11" s="3">
        <v>11</v>
      </c>
    </row>
    <row r="12" spans="1:18" x14ac:dyDescent="0.25">
      <c r="A12" s="33" t="s">
        <v>1240</v>
      </c>
      <c r="B12" s="23" t="s">
        <v>15</v>
      </c>
      <c r="C12" s="22"/>
      <c r="D12" s="34" t="s">
        <v>1198</v>
      </c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5"/>
      <c r="Q12" s="3" t="str">
        <f t="shared" si="0"/>
        <v/>
      </c>
      <c r="R12" s="3">
        <v>12</v>
      </c>
    </row>
    <row r="13" spans="1:18" x14ac:dyDescent="0.25">
      <c r="A13" s="33" t="s">
        <v>1241</v>
      </c>
      <c r="B13" s="23">
        <v>450</v>
      </c>
      <c r="C13" s="22" t="s">
        <v>974</v>
      </c>
      <c r="D13" s="34" t="s">
        <v>975</v>
      </c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5"/>
      <c r="Q13" s="3" t="str">
        <f t="shared" si="0"/>
        <v/>
      </c>
      <c r="R13" s="3">
        <v>13</v>
      </c>
    </row>
    <row r="14" spans="1:18" x14ac:dyDescent="0.25">
      <c r="A14" s="33" t="s">
        <v>1242</v>
      </c>
      <c r="B14" s="23">
        <v>6</v>
      </c>
      <c r="C14" s="22"/>
      <c r="D14" s="34" t="s">
        <v>976</v>
      </c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5"/>
      <c r="Q14" s="3" t="str">
        <f t="shared" si="0"/>
        <v/>
      </c>
      <c r="R14" s="3">
        <v>14</v>
      </c>
    </row>
    <row r="15" spans="1:18" x14ac:dyDescent="0.25">
      <c r="A15" s="33" t="s">
        <v>1243</v>
      </c>
      <c r="B15" s="23">
        <v>3300</v>
      </c>
      <c r="C15" s="22" t="s">
        <v>977</v>
      </c>
      <c r="D15" s="34" t="s">
        <v>978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5"/>
      <c r="Q15" s="3" t="str">
        <f t="shared" si="0"/>
        <v/>
      </c>
      <c r="R15" s="3">
        <v>15</v>
      </c>
    </row>
    <row r="16" spans="1:18" x14ac:dyDescent="0.25">
      <c r="A16" s="33" t="s">
        <v>1244</v>
      </c>
      <c r="B16" s="23">
        <v>50</v>
      </c>
      <c r="C16" s="22" t="s">
        <v>979</v>
      </c>
      <c r="D16" s="34" t="s">
        <v>980</v>
      </c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5"/>
      <c r="Q16" s="3" t="str">
        <f t="shared" si="0"/>
        <v/>
      </c>
      <c r="R16" s="3">
        <v>16</v>
      </c>
    </row>
    <row r="17" spans="1:18" x14ac:dyDescent="0.25">
      <c r="A17" s="33" t="s">
        <v>1245</v>
      </c>
      <c r="B17" s="23">
        <v>3</v>
      </c>
      <c r="C17" s="22"/>
      <c r="D17" s="34" t="s">
        <v>981</v>
      </c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5"/>
      <c r="Q17" s="3" t="str">
        <f t="shared" si="0"/>
        <v/>
      </c>
      <c r="R17" s="3">
        <v>17</v>
      </c>
    </row>
    <row r="18" spans="1:18" x14ac:dyDescent="0.25">
      <c r="A18" s="33" t="s">
        <v>1246</v>
      </c>
      <c r="B18" s="23">
        <v>0</v>
      </c>
      <c r="C18" s="22"/>
      <c r="D18" s="34" t="s">
        <v>1199</v>
      </c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5"/>
      <c r="Q18" s="3" t="str">
        <f t="shared" si="0"/>
        <v/>
      </c>
      <c r="R18" s="3">
        <v>18</v>
      </c>
    </row>
    <row r="19" spans="1:18" x14ac:dyDescent="0.25">
      <c r="A19" s="33" t="s">
        <v>1247</v>
      </c>
      <c r="B19" s="23" t="s">
        <v>16</v>
      </c>
      <c r="C19" s="22"/>
      <c r="D19" s="34" t="s">
        <v>982</v>
      </c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5"/>
      <c r="Q19" s="3" t="str">
        <f t="shared" si="0"/>
        <v/>
      </c>
      <c r="R19" s="3">
        <v>19</v>
      </c>
    </row>
    <row r="20" spans="1:18" x14ac:dyDescent="0.25">
      <c r="A20" s="33" t="s">
        <v>1248</v>
      </c>
      <c r="B20" s="23">
        <v>620</v>
      </c>
      <c r="C20" s="22" t="s">
        <v>983</v>
      </c>
      <c r="D20" s="34" t="s">
        <v>984</v>
      </c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5"/>
      <c r="Q20" s="3" t="str">
        <f t="shared" si="0"/>
        <v/>
      </c>
      <c r="R20" s="3">
        <v>20</v>
      </c>
    </row>
    <row r="21" spans="1:18" x14ac:dyDescent="0.25">
      <c r="A21" s="33" t="s">
        <v>1249</v>
      </c>
      <c r="B21" s="23">
        <v>420</v>
      </c>
      <c r="C21" s="22" t="s">
        <v>983</v>
      </c>
      <c r="D21" s="34" t="s">
        <v>985</v>
      </c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5"/>
      <c r="Q21" s="3" t="str">
        <f t="shared" si="0"/>
        <v/>
      </c>
      <c r="R21" s="3">
        <v>21</v>
      </c>
    </row>
    <row r="22" spans="1:18" x14ac:dyDescent="0.25">
      <c r="A22" s="33" t="s">
        <v>1250</v>
      </c>
      <c r="B22" s="23">
        <v>760</v>
      </c>
      <c r="C22" s="22" t="s">
        <v>983</v>
      </c>
      <c r="D22" s="34" t="s">
        <v>986</v>
      </c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5"/>
      <c r="Q22" s="3" t="str">
        <f t="shared" si="0"/>
        <v/>
      </c>
      <c r="R22" s="3">
        <v>22</v>
      </c>
    </row>
    <row r="23" spans="1:18" x14ac:dyDescent="0.25">
      <c r="A23" s="33" t="s">
        <v>1251</v>
      </c>
      <c r="B23" s="23">
        <v>0</v>
      </c>
      <c r="C23" s="22"/>
      <c r="D23" s="34" t="s">
        <v>987</v>
      </c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5"/>
      <c r="Q23" s="3" t="str">
        <f t="shared" si="0"/>
        <v/>
      </c>
      <c r="R23" s="3">
        <v>23</v>
      </c>
    </row>
    <row r="24" spans="1:18" x14ac:dyDescent="0.25">
      <c r="A24" s="33" t="s">
        <v>1252</v>
      </c>
      <c r="B24" s="23">
        <v>0</v>
      </c>
      <c r="C24" s="22" t="s">
        <v>983</v>
      </c>
      <c r="D24" s="34" t="s">
        <v>988</v>
      </c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5"/>
      <c r="Q24" s="3" t="str">
        <f t="shared" si="0"/>
        <v/>
      </c>
      <c r="R24" s="3">
        <v>24</v>
      </c>
    </row>
    <row r="25" spans="1:18" x14ac:dyDescent="0.25">
      <c r="A25" s="33" t="s">
        <v>1253</v>
      </c>
      <c r="B25" s="23">
        <v>0.95</v>
      </c>
      <c r="C25" s="22"/>
      <c r="D25" s="34" t="s">
        <v>989</v>
      </c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5"/>
      <c r="Q25" s="3" t="str">
        <f t="shared" si="0"/>
        <v/>
      </c>
      <c r="R25" s="3">
        <v>25</v>
      </c>
    </row>
    <row r="26" spans="1:18" x14ac:dyDescent="0.25">
      <c r="A26" s="33" t="s">
        <v>1254</v>
      </c>
      <c r="B26" s="23" t="s">
        <v>990</v>
      </c>
      <c r="C26" s="22"/>
      <c r="D26" s="34" t="s">
        <v>1200</v>
      </c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5"/>
      <c r="Q26" s="3" t="str">
        <f t="shared" si="0"/>
        <v/>
      </c>
      <c r="R26" s="3">
        <v>26</v>
      </c>
    </row>
    <row r="27" spans="1:18" x14ac:dyDescent="0.25">
      <c r="A27" s="33" t="s">
        <v>1255</v>
      </c>
      <c r="B27" s="23">
        <v>1</v>
      </c>
      <c r="C27" s="22"/>
      <c r="D27" s="34" t="s">
        <v>991</v>
      </c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5"/>
      <c r="Q27" s="3" t="str">
        <f t="shared" si="0"/>
        <v/>
      </c>
      <c r="R27" s="3">
        <v>27</v>
      </c>
    </row>
    <row r="28" spans="1:18" x14ac:dyDescent="0.25">
      <c r="A28" s="33" t="s">
        <v>1256</v>
      </c>
      <c r="B28" s="23" t="s">
        <v>992</v>
      </c>
      <c r="C28" s="22"/>
      <c r="D28" s="34" t="s">
        <v>993</v>
      </c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5"/>
      <c r="Q28" s="3" t="str">
        <f t="shared" si="0"/>
        <v/>
      </c>
      <c r="R28" s="3">
        <v>28</v>
      </c>
    </row>
    <row r="29" spans="1:18" x14ac:dyDescent="0.25">
      <c r="A29" s="33" t="s">
        <v>1257</v>
      </c>
      <c r="B29" s="23">
        <v>0</v>
      </c>
      <c r="C29" s="22" t="s">
        <v>983</v>
      </c>
      <c r="D29" s="34" t="s">
        <v>994</v>
      </c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5"/>
      <c r="Q29" s="3" t="str">
        <f t="shared" si="0"/>
        <v/>
      </c>
      <c r="R29" s="3">
        <v>29</v>
      </c>
    </row>
    <row r="30" spans="1:18" x14ac:dyDescent="0.25">
      <c r="A30" s="33" t="s">
        <v>1258</v>
      </c>
      <c r="B30" s="23">
        <v>-1</v>
      </c>
      <c r="C30" s="22"/>
      <c r="D30" s="34" t="s">
        <v>1201</v>
      </c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5"/>
      <c r="Q30" s="3" t="str">
        <f t="shared" si="0"/>
        <v/>
      </c>
      <c r="R30" s="3">
        <v>30</v>
      </c>
    </row>
    <row r="31" spans="1:18" x14ac:dyDescent="0.25">
      <c r="A31" s="33" t="s">
        <v>1259</v>
      </c>
      <c r="B31" s="23">
        <v>0</v>
      </c>
      <c r="C31" s="22" t="s">
        <v>983</v>
      </c>
      <c r="D31" s="34" t="s">
        <v>995</v>
      </c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5"/>
      <c r="Q31" s="3" t="str">
        <f t="shared" si="0"/>
        <v/>
      </c>
      <c r="R31" s="3">
        <v>31</v>
      </c>
    </row>
    <row r="32" spans="1:18" x14ac:dyDescent="0.25">
      <c r="A32" s="33" t="s">
        <v>1260</v>
      </c>
      <c r="B32" s="23">
        <v>0</v>
      </c>
      <c r="C32" s="22" t="s">
        <v>983</v>
      </c>
      <c r="D32" s="34" t="s">
        <v>996</v>
      </c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5"/>
      <c r="Q32" s="3" t="str">
        <f t="shared" si="0"/>
        <v/>
      </c>
      <c r="R32" s="3">
        <v>32</v>
      </c>
    </row>
    <row r="33" spans="1:18" x14ac:dyDescent="0.25">
      <c r="A33" s="33" t="s">
        <v>1261</v>
      </c>
      <c r="B33" s="23">
        <v>54</v>
      </c>
      <c r="C33" s="22"/>
      <c r="D33" s="34" t="s">
        <v>997</v>
      </c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5"/>
      <c r="Q33" s="3" t="str">
        <f t="shared" si="0"/>
        <v/>
      </c>
      <c r="R33" s="3">
        <v>33</v>
      </c>
    </row>
    <row r="34" spans="1:18" x14ac:dyDescent="0.25">
      <c r="A34" s="33" t="s">
        <v>1262</v>
      </c>
      <c r="B34" s="23">
        <v>7</v>
      </c>
      <c r="C34" s="22"/>
      <c r="D34" s="34" t="s">
        <v>998</v>
      </c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5"/>
      <c r="Q34" s="3" t="str">
        <f t="shared" si="0"/>
        <v/>
      </c>
      <c r="R34" s="3">
        <v>34</v>
      </c>
    </row>
    <row r="35" spans="1:18" x14ac:dyDescent="0.25">
      <c r="A35" s="33" t="s">
        <v>1263</v>
      </c>
      <c r="B35" s="23">
        <v>1</v>
      </c>
      <c r="C35" s="22"/>
      <c r="D35" s="34" t="s">
        <v>999</v>
      </c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5"/>
      <c r="Q35" s="3" t="str">
        <f t="shared" si="0"/>
        <v/>
      </c>
      <c r="R35" s="3">
        <v>35</v>
      </c>
    </row>
    <row r="36" spans="1:18" x14ac:dyDescent="0.25">
      <c r="A36" s="33" t="s">
        <v>1264</v>
      </c>
      <c r="B36" s="23">
        <v>6</v>
      </c>
      <c r="C36" s="22"/>
      <c r="D36" s="34" t="s">
        <v>1000</v>
      </c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5"/>
      <c r="Q36" s="3" t="str">
        <f t="shared" si="0"/>
        <v/>
      </c>
      <c r="R36" s="3">
        <v>36</v>
      </c>
    </row>
    <row r="37" spans="1:18" x14ac:dyDescent="0.25">
      <c r="A37" s="33" t="s">
        <v>1265</v>
      </c>
      <c r="B37" s="23">
        <v>13</v>
      </c>
      <c r="C37" s="22" t="s">
        <v>983</v>
      </c>
      <c r="D37" s="34" t="s">
        <v>1001</v>
      </c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5"/>
      <c r="Q37" s="3" t="str">
        <f t="shared" si="0"/>
        <v/>
      </c>
      <c r="R37" s="3">
        <v>37</v>
      </c>
    </row>
    <row r="38" spans="1:18" x14ac:dyDescent="0.25">
      <c r="A38" s="33" t="s">
        <v>1266</v>
      </c>
      <c r="B38" s="23">
        <v>13</v>
      </c>
      <c r="C38" s="22" t="s">
        <v>983</v>
      </c>
      <c r="D38" s="34" t="s">
        <v>1002</v>
      </c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5"/>
      <c r="Q38" s="3" t="str">
        <f t="shared" si="0"/>
        <v/>
      </c>
      <c r="R38" s="3">
        <v>38</v>
      </c>
    </row>
    <row r="39" spans="1:18" x14ac:dyDescent="0.25">
      <c r="A39" s="33" t="s">
        <v>1267</v>
      </c>
      <c r="B39" s="23">
        <v>55</v>
      </c>
      <c r="C39" s="22" t="s">
        <v>983</v>
      </c>
      <c r="D39" s="34" t="s">
        <v>1003</v>
      </c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5"/>
      <c r="Q39" s="3" t="str">
        <f t="shared" si="0"/>
        <v/>
      </c>
      <c r="R39" s="3">
        <v>39</v>
      </c>
    </row>
    <row r="40" spans="1:18" x14ac:dyDescent="0.25">
      <c r="A40" s="33" t="s">
        <v>1268</v>
      </c>
      <c r="B40" s="23">
        <v>0.5</v>
      </c>
      <c r="C40" s="22" t="s">
        <v>983</v>
      </c>
      <c r="D40" s="34" t="s">
        <v>1004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5"/>
      <c r="Q40" s="3" t="str">
        <f t="shared" si="0"/>
        <v/>
      </c>
      <c r="R40" s="3">
        <v>40</v>
      </c>
    </row>
    <row r="41" spans="1:18" x14ac:dyDescent="0.25">
      <c r="A41" s="33" t="s">
        <v>1269</v>
      </c>
      <c r="B41" s="23">
        <v>4.5</v>
      </c>
      <c r="C41" s="22" t="s">
        <v>983</v>
      </c>
      <c r="D41" s="34" t="s">
        <v>1005</v>
      </c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5"/>
      <c r="Q41" s="3" t="str">
        <f t="shared" si="0"/>
        <v/>
      </c>
      <c r="R41" s="3">
        <v>41</v>
      </c>
    </row>
    <row r="42" spans="1:18" x14ac:dyDescent="0.25">
      <c r="A42" s="33" t="s">
        <v>1270</v>
      </c>
      <c r="B42" s="23">
        <v>1</v>
      </c>
      <c r="C42" s="22"/>
      <c r="D42" s="34" t="s">
        <v>1202</v>
      </c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5"/>
      <c r="Q42" s="3" t="str">
        <f t="shared" si="0"/>
        <v/>
      </c>
      <c r="R42" s="3">
        <v>42</v>
      </c>
    </row>
    <row r="43" spans="1:18" x14ac:dyDescent="0.25">
      <c r="A43" s="33" t="s">
        <v>1271</v>
      </c>
      <c r="B43" s="23">
        <v>3</v>
      </c>
      <c r="C43" s="22"/>
      <c r="D43" s="34" t="s">
        <v>1203</v>
      </c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5"/>
      <c r="Q43" s="3" t="str">
        <f t="shared" si="0"/>
        <v/>
      </c>
      <c r="R43" s="3">
        <v>43</v>
      </c>
    </row>
    <row r="44" spans="1:18" x14ac:dyDescent="0.25">
      <c r="A44" s="33" t="s">
        <v>1272</v>
      </c>
      <c r="B44" s="23">
        <v>4.5</v>
      </c>
      <c r="C44" s="22" t="s">
        <v>983</v>
      </c>
      <c r="D44" s="34" t="s">
        <v>1204</v>
      </c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5"/>
      <c r="Q44" s="3" t="str">
        <f t="shared" si="0"/>
        <v/>
      </c>
      <c r="R44" s="3">
        <v>44</v>
      </c>
    </row>
    <row r="45" spans="1:18" x14ac:dyDescent="0.25">
      <c r="A45" s="33" t="s">
        <v>1273</v>
      </c>
      <c r="B45" s="23">
        <v>2.0449999999999999</v>
      </c>
      <c r="C45" s="22" t="s">
        <v>983</v>
      </c>
      <c r="D45" s="34" t="s">
        <v>1006</v>
      </c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5"/>
      <c r="Q45" s="3" t="str">
        <f t="shared" si="0"/>
        <v/>
      </c>
      <c r="R45" s="3">
        <v>45</v>
      </c>
    </row>
    <row r="46" spans="1:18" x14ac:dyDescent="0.25">
      <c r="A46" s="33" t="s">
        <v>1274</v>
      </c>
      <c r="B46" s="23">
        <v>0</v>
      </c>
      <c r="C46" s="22" t="s">
        <v>983</v>
      </c>
      <c r="D46" s="34" t="s">
        <v>1205</v>
      </c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5"/>
      <c r="Q46" s="3" t="str">
        <f t="shared" si="0"/>
        <v/>
      </c>
      <c r="R46" s="3">
        <v>46</v>
      </c>
    </row>
    <row r="47" spans="1:18" x14ac:dyDescent="0.25">
      <c r="A47" s="33" t="s">
        <v>1275</v>
      </c>
      <c r="B47" s="23">
        <v>2</v>
      </c>
      <c r="C47" s="22"/>
      <c r="D47" s="34" t="s">
        <v>1007</v>
      </c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5"/>
      <c r="Q47" s="3" t="str">
        <f t="shared" si="0"/>
        <v/>
      </c>
      <c r="R47" s="3">
        <v>47</v>
      </c>
    </row>
    <row r="48" spans="1:18" x14ac:dyDescent="0.25">
      <c r="A48" s="33" t="s">
        <v>1276</v>
      </c>
      <c r="B48" s="23">
        <v>2</v>
      </c>
      <c r="C48" s="22"/>
      <c r="D48" s="34" t="s">
        <v>1008</v>
      </c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5"/>
      <c r="Q48" s="3" t="str">
        <f t="shared" si="0"/>
        <v/>
      </c>
      <c r="R48" s="3">
        <v>48</v>
      </c>
    </row>
    <row r="49" spans="1:18" x14ac:dyDescent="0.25">
      <c r="A49" s="33" t="s">
        <v>1277</v>
      </c>
      <c r="B49" s="23">
        <v>1</v>
      </c>
      <c r="C49" s="22"/>
      <c r="D49" s="34" t="s">
        <v>1206</v>
      </c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5"/>
      <c r="Q49" s="3" t="str">
        <f t="shared" si="0"/>
        <v/>
      </c>
      <c r="R49" s="3">
        <v>49</v>
      </c>
    </row>
    <row r="50" spans="1:18" x14ac:dyDescent="0.25">
      <c r="A50" s="33" t="s">
        <v>1278</v>
      </c>
      <c r="B50" s="23">
        <v>-1</v>
      </c>
      <c r="C50" s="22" t="s">
        <v>983</v>
      </c>
      <c r="D50" s="34" t="s">
        <v>1009</v>
      </c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5"/>
      <c r="Q50" s="3" t="str">
        <f t="shared" si="0"/>
        <v/>
      </c>
      <c r="R50" s="3">
        <v>50</v>
      </c>
    </row>
    <row r="51" spans="1:18" x14ac:dyDescent="0.25">
      <c r="A51" s="33" t="s">
        <v>1279</v>
      </c>
      <c r="B51" s="23">
        <v>-1</v>
      </c>
      <c r="C51" s="22" t="s">
        <v>983</v>
      </c>
      <c r="D51" s="34" t="s">
        <v>1010</v>
      </c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5"/>
      <c r="Q51" s="3" t="str">
        <f t="shared" si="0"/>
        <v/>
      </c>
      <c r="R51" s="3">
        <v>51</v>
      </c>
    </row>
    <row r="52" spans="1:18" x14ac:dyDescent="0.25">
      <c r="A52" s="33" t="s">
        <v>1280</v>
      </c>
      <c r="B52" s="23"/>
      <c r="C52" s="22"/>
      <c r="D52" s="34" t="s">
        <v>1011</v>
      </c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5"/>
      <c r="Q52" s="3" t="str">
        <f t="shared" si="0"/>
        <v/>
      </c>
      <c r="R52" s="3">
        <v>52</v>
      </c>
    </row>
    <row r="53" spans="1:18" x14ac:dyDescent="0.25">
      <c r="A53" s="33" t="s">
        <v>1281</v>
      </c>
      <c r="B53" s="23"/>
      <c r="C53" s="22"/>
      <c r="D53" s="34" t="s">
        <v>1012</v>
      </c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5"/>
      <c r="Q53" s="3" t="str">
        <f t="shared" si="0"/>
        <v/>
      </c>
      <c r="R53" s="3">
        <v>53</v>
      </c>
    </row>
    <row r="54" spans="1:18" x14ac:dyDescent="0.25">
      <c r="A54" s="33" t="s">
        <v>1282</v>
      </c>
      <c r="B54" s="23">
        <v>-1</v>
      </c>
      <c r="C54" s="22" t="s">
        <v>983</v>
      </c>
      <c r="D54" s="34" t="s">
        <v>1013</v>
      </c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5"/>
      <c r="Q54" s="3" t="str">
        <f t="shared" si="0"/>
        <v/>
      </c>
      <c r="R54" s="3">
        <v>54</v>
      </c>
    </row>
    <row r="55" spans="1:18" x14ac:dyDescent="0.25">
      <c r="A55" s="33" t="s">
        <v>1283</v>
      </c>
      <c r="B55" s="23">
        <v>-1</v>
      </c>
      <c r="C55" s="22" t="s">
        <v>983</v>
      </c>
      <c r="D55" s="34" t="s">
        <v>1207</v>
      </c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5"/>
      <c r="Q55" s="3" t="str">
        <f t="shared" si="0"/>
        <v/>
      </c>
      <c r="R55" s="3">
        <v>55</v>
      </c>
    </row>
    <row r="56" spans="1:18" x14ac:dyDescent="0.25">
      <c r="A56" s="33" t="s">
        <v>1284</v>
      </c>
      <c r="B56" s="23">
        <v>-1</v>
      </c>
      <c r="C56" s="22" t="s">
        <v>983</v>
      </c>
      <c r="D56" s="34" t="s">
        <v>1208</v>
      </c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5"/>
      <c r="Q56" s="3" t="str">
        <f t="shared" si="0"/>
        <v/>
      </c>
      <c r="R56" s="3">
        <v>56</v>
      </c>
    </row>
    <row r="57" spans="1:18" x14ac:dyDescent="0.25">
      <c r="A57" s="33" t="s">
        <v>1285</v>
      </c>
      <c r="B57" s="23">
        <v>-1</v>
      </c>
      <c r="C57" s="22" t="s">
        <v>983</v>
      </c>
      <c r="D57" s="34" t="s">
        <v>1209</v>
      </c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5"/>
      <c r="Q57" s="3" t="str">
        <f t="shared" si="0"/>
        <v/>
      </c>
      <c r="R57" s="3">
        <v>57</v>
      </c>
    </row>
    <row r="58" spans="1:18" x14ac:dyDescent="0.25">
      <c r="A58" s="33" t="s">
        <v>1286</v>
      </c>
      <c r="B58" s="23">
        <v>2</v>
      </c>
      <c r="C58" s="22"/>
      <c r="D58" s="34" t="s">
        <v>1014</v>
      </c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5"/>
      <c r="Q58" s="3" t="str">
        <f t="shared" si="0"/>
        <v/>
      </c>
      <c r="R58" s="3">
        <v>58</v>
      </c>
    </row>
    <row r="59" spans="1:18" x14ac:dyDescent="0.25">
      <c r="A59" s="33" t="s">
        <v>1287</v>
      </c>
      <c r="B59" s="23">
        <v>3</v>
      </c>
      <c r="C59" s="22"/>
      <c r="D59" s="34" t="s">
        <v>1015</v>
      </c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5"/>
      <c r="Q59" s="3" t="str">
        <f t="shared" si="0"/>
        <v/>
      </c>
      <c r="R59" s="3">
        <v>59</v>
      </c>
    </row>
    <row r="60" spans="1:18" x14ac:dyDescent="0.25">
      <c r="A60" s="33" t="s">
        <v>1288</v>
      </c>
      <c r="B60" s="23">
        <v>-1</v>
      </c>
      <c r="C60" s="22" t="s">
        <v>983</v>
      </c>
      <c r="D60" s="34" t="s">
        <v>1016</v>
      </c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5"/>
      <c r="Q60" s="3" t="str">
        <f t="shared" si="0"/>
        <v/>
      </c>
      <c r="R60" s="3">
        <v>60</v>
      </c>
    </row>
    <row r="61" spans="1:18" x14ac:dyDescent="0.25">
      <c r="A61" s="33" t="s">
        <v>1289</v>
      </c>
      <c r="B61" s="23">
        <v>0</v>
      </c>
      <c r="C61" s="22" t="s">
        <v>983</v>
      </c>
      <c r="D61" s="34" t="s">
        <v>1210</v>
      </c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5"/>
      <c r="Q61" s="3" t="str">
        <f t="shared" si="0"/>
        <v/>
      </c>
      <c r="R61" s="3">
        <v>61</v>
      </c>
    </row>
    <row r="62" spans="1:18" x14ac:dyDescent="0.25">
      <c r="A62" s="33" t="s">
        <v>1290</v>
      </c>
      <c r="B62" s="23">
        <v>-1</v>
      </c>
      <c r="C62" s="22" t="s">
        <v>983</v>
      </c>
      <c r="D62" s="34" t="s">
        <v>1017</v>
      </c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5"/>
      <c r="Q62" s="3" t="str">
        <f t="shared" si="0"/>
        <v/>
      </c>
      <c r="R62" s="3">
        <v>62</v>
      </c>
    </row>
    <row r="63" spans="1:18" x14ac:dyDescent="0.25">
      <c r="A63" s="33" t="s">
        <v>1291</v>
      </c>
      <c r="B63" s="23">
        <v>71</v>
      </c>
      <c r="C63" s="22" t="s">
        <v>983</v>
      </c>
      <c r="D63" s="34" t="s">
        <v>1018</v>
      </c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5"/>
      <c r="Q63" s="3" t="str">
        <f t="shared" si="0"/>
        <v/>
      </c>
      <c r="R63" s="3">
        <v>63</v>
      </c>
    </row>
    <row r="64" spans="1:18" x14ac:dyDescent="0.25">
      <c r="A64" s="33" t="s">
        <v>1292</v>
      </c>
      <c r="B64" s="23">
        <v>121</v>
      </c>
      <c r="C64" s="22" t="s">
        <v>983</v>
      </c>
      <c r="D64" s="34" t="s">
        <v>1019</v>
      </c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5"/>
      <c r="Q64" s="3" t="str">
        <f t="shared" si="0"/>
        <v/>
      </c>
      <c r="R64" s="3">
        <v>64</v>
      </c>
    </row>
    <row r="65" spans="1:18" x14ac:dyDescent="0.25">
      <c r="A65" s="33" t="s">
        <v>1293</v>
      </c>
      <c r="B65" s="23">
        <v>85</v>
      </c>
      <c r="C65" s="22" t="s">
        <v>1020</v>
      </c>
      <c r="D65" s="34" t="s">
        <v>1021</v>
      </c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5"/>
      <c r="Q65" s="3" t="str">
        <f t="shared" si="0"/>
        <v/>
      </c>
      <c r="R65" s="3">
        <v>65</v>
      </c>
    </row>
    <row r="66" spans="1:18" x14ac:dyDescent="0.25">
      <c r="A66" s="33" t="s">
        <v>1294</v>
      </c>
      <c r="B66" s="23">
        <v>0</v>
      </c>
      <c r="C66" s="22" t="s">
        <v>983</v>
      </c>
      <c r="D66" s="34" t="s">
        <v>1022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5"/>
      <c r="Q66" s="3" t="str">
        <f t="shared" si="0"/>
        <v/>
      </c>
      <c r="R66" s="3">
        <v>66</v>
      </c>
    </row>
    <row r="67" spans="1:18" x14ac:dyDescent="0.25">
      <c r="A67" s="33" t="s">
        <v>1295</v>
      </c>
      <c r="B67" s="23">
        <v>5000</v>
      </c>
      <c r="C67" s="22" t="s">
        <v>983</v>
      </c>
      <c r="D67" s="34" t="s">
        <v>1023</v>
      </c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5"/>
      <c r="Q67" s="3" t="str">
        <f t="shared" si="0"/>
        <v/>
      </c>
      <c r="R67" s="3">
        <v>67</v>
      </c>
    </row>
    <row r="68" spans="1:18" x14ac:dyDescent="0.25">
      <c r="A68" s="33" t="s">
        <v>1296</v>
      </c>
      <c r="B68" s="23">
        <v>0</v>
      </c>
      <c r="C68" s="22"/>
      <c r="D68" s="34" t="s">
        <v>1024</v>
      </c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5"/>
      <c r="Q68" s="3" t="str">
        <f t="shared" si="0"/>
        <v/>
      </c>
      <c r="R68" s="3">
        <v>68</v>
      </c>
    </row>
    <row r="69" spans="1:18" x14ac:dyDescent="0.25">
      <c r="A69" s="33" t="s">
        <v>1297</v>
      </c>
      <c r="B69" s="23">
        <v>0</v>
      </c>
      <c r="C69" s="22"/>
      <c r="D69" s="34" t="s">
        <v>1025</v>
      </c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5"/>
      <c r="Q69" s="3" t="str">
        <f t="shared" si="0"/>
        <v/>
      </c>
      <c r="R69" s="3">
        <v>69</v>
      </c>
    </row>
    <row r="70" spans="1:18" x14ac:dyDescent="0.25">
      <c r="A70" s="33" t="s">
        <v>1298</v>
      </c>
      <c r="B70" s="23">
        <v>0</v>
      </c>
      <c r="C70" s="22" t="s">
        <v>983</v>
      </c>
      <c r="D70" s="34" t="s">
        <v>1026</v>
      </c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5"/>
      <c r="Q70" s="3" t="str">
        <f t="shared" si="0"/>
        <v/>
      </c>
      <c r="R70" s="3">
        <v>70</v>
      </c>
    </row>
    <row r="71" spans="1:18" x14ac:dyDescent="0.25">
      <c r="A71" s="33" t="s">
        <v>1299</v>
      </c>
      <c r="B71" s="23">
        <v>50</v>
      </c>
      <c r="C71" s="22" t="s">
        <v>983</v>
      </c>
      <c r="D71" s="34" t="s">
        <v>1027</v>
      </c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5"/>
      <c r="Q71" s="3" t="str">
        <f t="shared" si="0"/>
        <v/>
      </c>
      <c r="R71" s="3">
        <v>71</v>
      </c>
    </row>
    <row r="72" spans="1:18" x14ac:dyDescent="0.25">
      <c r="A72" s="33" t="s">
        <v>1300</v>
      </c>
      <c r="B72" s="23">
        <v>15</v>
      </c>
      <c r="C72" s="22" t="s">
        <v>983</v>
      </c>
      <c r="D72" s="34" t="s">
        <v>1028</v>
      </c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5"/>
      <c r="Q72" s="3" t="str">
        <f t="shared" si="0"/>
        <v/>
      </c>
      <c r="R72" s="3">
        <v>72</v>
      </c>
    </row>
    <row r="73" spans="1:18" x14ac:dyDescent="0.25">
      <c r="A73" s="33" t="s">
        <v>1301</v>
      </c>
      <c r="B73" s="23">
        <v>40</v>
      </c>
      <c r="C73" s="22" t="s">
        <v>983</v>
      </c>
      <c r="D73" s="34" t="s">
        <v>1029</v>
      </c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5"/>
      <c r="Q73" s="3" t="str">
        <f t="shared" ref="Q73:Q136" si="1">IF($P$7=A73,1,"")</f>
        <v/>
      </c>
      <c r="R73" s="3">
        <v>73</v>
      </c>
    </row>
    <row r="74" spans="1:18" x14ac:dyDescent="0.25">
      <c r="A74" s="33" t="s">
        <v>1302</v>
      </c>
      <c r="B74" s="23">
        <v>0</v>
      </c>
      <c r="C74" s="22" t="s">
        <v>983</v>
      </c>
      <c r="D74" s="34" t="s">
        <v>1030</v>
      </c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5"/>
      <c r="Q74" s="3" t="str">
        <f t="shared" si="1"/>
        <v/>
      </c>
      <c r="R74" s="3">
        <v>74</v>
      </c>
    </row>
    <row r="75" spans="1:18" x14ac:dyDescent="0.25">
      <c r="A75" s="33" t="s">
        <v>1303</v>
      </c>
      <c r="B75" s="23">
        <v>0</v>
      </c>
      <c r="C75" s="22" t="s">
        <v>983</v>
      </c>
      <c r="D75" s="34" t="s">
        <v>1031</v>
      </c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5"/>
      <c r="Q75" s="3" t="str">
        <f t="shared" si="1"/>
        <v/>
      </c>
      <c r="R75" s="3">
        <v>75</v>
      </c>
    </row>
    <row r="76" spans="1:18" x14ac:dyDescent="0.25">
      <c r="A76" s="33" t="s">
        <v>1304</v>
      </c>
      <c r="B76" s="23">
        <v>0</v>
      </c>
      <c r="C76" s="22" t="s">
        <v>983</v>
      </c>
      <c r="D76" s="34" t="s">
        <v>1032</v>
      </c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5"/>
      <c r="Q76" s="3" t="str">
        <f t="shared" si="1"/>
        <v/>
      </c>
      <c r="R76" s="3">
        <v>76</v>
      </c>
    </row>
    <row r="77" spans="1:18" x14ac:dyDescent="0.25">
      <c r="A77" s="36" t="s">
        <v>1305</v>
      </c>
      <c r="B77" s="23" t="s">
        <v>1468</v>
      </c>
      <c r="C77" s="22"/>
      <c r="D77" s="34" t="s">
        <v>1033</v>
      </c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5"/>
      <c r="Q77" s="3" t="str">
        <f t="shared" si="1"/>
        <v/>
      </c>
      <c r="R77" s="3">
        <v>77</v>
      </c>
    </row>
    <row r="78" spans="1:18" x14ac:dyDescent="0.25">
      <c r="A78" s="36" t="s">
        <v>1306</v>
      </c>
      <c r="B78" s="23" t="s">
        <v>1469</v>
      </c>
      <c r="C78" s="22"/>
      <c r="D78" s="34" t="s">
        <v>1034</v>
      </c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5"/>
      <c r="Q78" s="3" t="str">
        <f t="shared" si="1"/>
        <v/>
      </c>
      <c r="R78" s="3">
        <v>78</v>
      </c>
    </row>
    <row r="79" spans="1:18" x14ac:dyDescent="0.25">
      <c r="A79" s="33" t="s">
        <v>1307</v>
      </c>
      <c r="B79" s="23">
        <v>2</v>
      </c>
      <c r="C79" s="22"/>
      <c r="D79" s="34" t="s">
        <v>1211</v>
      </c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5"/>
      <c r="Q79" s="3" t="str">
        <f t="shared" si="1"/>
        <v/>
      </c>
      <c r="R79" s="3">
        <v>79</v>
      </c>
    </row>
    <row r="80" spans="1:18" x14ac:dyDescent="0.25">
      <c r="A80" s="33" t="s">
        <v>1308</v>
      </c>
      <c r="B80" s="23" t="s">
        <v>1035</v>
      </c>
      <c r="C80" s="22"/>
      <c r="D80" s="34" t="s">
        <v>1036</v>
      </c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5"/>
      <c r="Q80" s="3" t="str">
        <f t="shared" si="1"/>
        <v/>
      </c>
      <c r="R80" s="3">
        <v>80</v>
      </c>
    </row>
    <row r="81" spans="1:18" x14ac:dyDescent="0.25">
      <c r="A81" s="33" t="s">
        <v>1309</v>
      </c>
      <c r="B81" s="23" t="s">
        <v>1037</v>
      </c>
      <c r="C81" s="22"/>
      <c r="D81" s="34" t="s">
        <v>1038</v>
      </c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5"/>
      <c r="Q81" s="3" t="str">
        <f t="shared" si="1"/>
        <v/>
      </c>
      <c r="R81" s="3">
        <v>81</v>
      </c>
    </row>
    <row r="82" spans="1:18" x14ac:dyDescent="0.25">
      <c r="A82" s="33" t="s">
        <v>1310</v>
      </c>
      <c r="B82" s="23">
        <v>6</v>
      </c>
      <c r="C82" s="22" t="s">
        <v>1039</v>
      </c>
      <c r="D82" s="34" t="s">
        <v>1040</v>
      </c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5"/>
      <c r="Q82" s="3" t="str">
        <f t="shared" si="1"/>
        <v/>
      </c>
      <c r="R82" s="3">
        <v>82</v>
      </c>
    </row>
    <row r="83" spans="1:18" x14ac:dyDescent="0.25">
      <c r="A83" s="33" t="s">
        <v>1311</v>
      </c>
      <c r="B83" s="23">
        <v>0.6</v>
      </c>
      <c r="C83" s="22" t="s">
        <v>1039</v>
      </c>
      <c r="D83" s="34" t="s">
        <v>1041</v>
      </c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5"/>
      <c r="Q83" s="3" t="str">
        <f t="shared" si="1"/>
        <v/>
      </c>
      <c r="R83" s="3">
        <v>83</v>
      </c>
    </row>
    <row r="84" spans="1:18" x14ac:dyDescent="0.25">
      <c r="A84" s="33" t="s">
        <v>1312</v>
      </c>
      <c r="B84" s="23">
        <v>2</v>
      </c>
      <c r="C84" s="22" t="s">
        <v>1039</v>
      </c>
      <c r="D84" s="34" t="s">
        <v>1042</v>
      </c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5"/>
      <c r="Q84" s="3" t="str">
        <f t="shared" si="1"/>
        <v/>
      </c>
      <c r="R84" s="3">
        <v>84</v>
      </c>
    </row>
    <row r="85" spans="1:18" x14ac:dyDescent="0.25">
      <c r="A85" s="33" t="s">
        <v>1313</v>
      </c>
      <c r="B85" s="23">
        <v>1200</v>
      </c>
      <c r="C85" s="22" t="s">
        <v>1043</v>
      </c>
      <c r="D85" s="34" t="s">
        <v>1044</v>
      </c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5"/>
      <c r="Q85" s="3" t="str">
        <f t="shared" si="1"/>
        <v/>
      </c>
      <c r="R85" s="3">
        <v>85</v>
      </c>
    </row>
    <row r="86" spans="1:18" x14ac:dyDescent="0.25">
      <c r="A86" s="33" t="s">
        <v>1314</v>
      </c>
      <c r="B86" s="23" t="s">
        <v>1463</v>
      </c>
      <c r="C86" s="22"/>
      <c r="D86" s="34" t="s">
        <v>1045</v>
      </c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5"/>
      <c r="Q86" s="3" t="str">
        <f t="shared" si="1"/>
        <v/>
      </c>
      <c r="R86" s="3">
        <v>86</v>
      </c>
    </row>
    <row r="87" spans="1:18" x14ac:dyDescent="0.25">
      <c r="A87" s="33" t="s">
        <v>1315</v>
      </c>
      <c r="B87" s="23" t="s">
        <v>1046</v>
      </c>
      <c r="C87" s="22"/>
      <c r="D87" s="34" t="s">
        <v>1047</v>
      </c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5"/>
      <c r="Q87" s="3" t="str">
        <f t="shared" si="1"/>
        <v/>
      </c>
      <c r="R87" s="3">
        <v>87</v>
      </c>
    </row>
    <row r="88" spans="1:18" x14ac:dyDescent="0.25">
      <c r="A88" s="33" t="s">
        <v>1316</v>
      </c>
      <c r="B88" s="23" t="s">
        <v>1048</v>
      </c>
      <c r="C88" s="22"/>
      <c r="D88" s="34" t="s">
        <v>1049</v>
      </c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5"/>
      <c r="Q88" s="3" t="str">
        <f t="shared" si="1"/>
        <v/>
      </c>
      <c r="R88" s="3">
        <v>88</v>
      </c>
    </row>
    <row r="89" spans="1:18" x14ac:dyDescent="0.25">
      <c r="A89" s="33" t="s">
        <v>1317</v>
      </c>
      <c r="B89" s="23">
        <v>0</v>
      </c>
      <c r="C89" s="22"/>
      <c r="D89" s="34" t="s">
        <v>1050</v>
      </c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5"/>
      <c r="Q89" s="3" t="str">
        <f t="shared" si="1"/>
        <v/>
      </c>
      <c r="R89" s="3">
        <v>89</v>
      </c>
    </row>
    <row r="90" spans="1:18" x14ac:dyDescent="0.25">
      <c r="A90" s="33" t="s">
        <v>1318</v>
      </c>
      <c r="B90" s="23">
        <v>10</v>
      </c>
      <c r="C90" s="22" t="s">
        <v>1051</v>
      </c>
      <c r="D90" s="34" t="s">
        <v>1052</v>
      </c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5"/>
      <c r="Q90" s="3" t="str">
        <f t="shared" si="1"/>
        <v/>
      </c>
      <c r="R90" s="3">
        <v>90</v>
      </c>
    </row>
    <row r="91" spans="1:18" x14ac:dyDescent="0.25">
      <c r="A91" s="33" t="s">
        <v>1319</v>
      </c>
      <c r="B91" s="23">
        <v>5</v>
      </c>
      <c r="C91" s="22"/>
      <c r="D91" s="34" t="s">
        <v>1212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5"/>
      <c r="Q91" s="3" t="str">
        <f t="shared" si="1"/>
        <v/>
      </c>
      <c r="R91" s="3">
        <v>91</v>
      </c>
    </row>
    <row r="92" spans="1:18" x14ac:dyDescent="0.25">
      <c r="A92" s="33" t="s">
        <v>1320</v>
      </c>
      <c r="B92" s="23">
        <v>40</v>
      </c>
      <c r="C92" s="22" t="s">
        <v>1051</v>
      </c>
      <c r="D92" s="34" t="s">
        <v>1053</v>
      </c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5"/>
      <c r="Q92" s="3" t="str">
        <f t="shared" si="1"/>
        <v/>
      </c>
      <c r="R92" s="3">
        <v>92</v>
      </c>
    </row>
    <row r="93" spans="1:18" x14ac:dyDescent="0.25">
      <c r="A93" s="33" t="s">
        <v>1321</v>
      </c>
      <c r="B93" s="23">
        <v>1000</v>
      </c>
      <c r="C93" s="22" t="s">
        <v>1054</v>
      </c>
      <c r="D93" s="34" t="s">
        <v>1055</v>
      </c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5"/>
      <c r="Q93" s="3" t="str">
        <f t="shared" si="1"/>
        <v/>
      </c>
      <c r="R93" s="3">
        <v>93</v>
      </c>
    </row>
    <row r="94" spans="1:18" x14ac:dyDescent="0.25">
      <c r="A94" s="33" t="s">
        <v>1322</v>
      </c>
      <c r="B94" s="23">
        <v>120</v>
      </c>
      <c r="C94" s="22" t="s">
        <v>1051</v>
      </c>
      <c r="D94" s="34" t="s">
        <v>1056</v>
      </c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5"/>
      <c r="Q94" s="3" t="str">
        <f t="shared" si="1"/>
        <v/>
      </c>
      <c r="R94" s="3">
        <v>94</v>
      </c>
    </row>
    <row r="95" spans="1:18" x14ac:dyDescent="0.25">
      <c r="A95" s="33" t="s">
        <v>1323</v>
      </c>
      <c r="B95" s="23">
        <v>130</v>
      </c>
      <c r="C95" s="22" t="s">
        <v>1051</v>
      </c>
      <c r="D95" s="34" t="s">
        <v>1057</v>
      </c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5"/>
      <c r="Q95" s="3" t="str">
        <f t="shared" si="1"/>
        <v/>
      </c>
      <c r="R95" s="3">
        <v>95</v>
      </c>
    </row>
    <row r="96" spans="1:18" x14ac:dyDescent="0.25">
      <c r="A96" s="33" t="s">
        <v>1324</v>
      </c>
      <c r="B96" s="23">
        <v>350</v>
      </c>
      <c r="C96" s="22" t="s">
        <v>1051</v>
      </c>
      <c r="D96" s="34" t="s">
        <v>1058</v>
      </c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5"/>
      <c r="Q96" s="3" t="str">
        <f t="shared" si="1"/>
        <v/>
      </c>
      <c r="R96" s="3">
        <v>96</v>
      </c>
    </row>
    <row r="97" spans="1:18" x14ac:dyDescent="0.25">
      <c r="A97" s="33" t="s">
        <v>1325</v>
      </c>
      <c r="B97" s="23">
        <v>95</v>
      </c>
      <c r="C97" s="22" t="s">
        <v>1051</v>
      </c>
      <c r="D97" s="34" t="s">
        <v>1059</v>
      </c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5"/>
      <c r="Q97" s="3" t="str">
        <f t="shared" si="1"/>
        <v/>
      </c>
      <c r="R97" s="3">
        <v>97</v>
      </c>
    </row>
    <row r="98" spans="1:18" x14ac:dyDescent="0.25">
      <c r="A98" s="33" t="s">
        <v>1326</v>
      </c>
      <c r="B98" s="23">
        <v>105</v>
      </c>
      <c r="C98" s="22" t="s">
        <v>1051</v>
      </c>
      <c r="D98" s="34" t="s">
        <v>1060</v>
      </c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5"/>
      <c r="Q98" s="3" t="str">
        <f t="shared" si="1"/>
        <v/>
      </c>
      <c r="R98" s="3">
        <v>98</v>
      </c>
    </row>
    <row r="99" spans="1:18" x14ac:dyDescent="0.25">
      <c r="A99" s="33" t="s">
        <v>1327</v>
      </c>
      <c r="B99" s="23" t="s">
        <v>1061</v>
      </c>
      <c r="C99" s="22"/>
      <c r="D99" s="34" t="s">
        <v>1213</v>
      </c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5"/>
      <c r="Q99" s="3" t="str">
        <f t="shared" si="1"/>
        <v/>
      </c>
      <c r="R99" s="3">
        <v>99</v>
      </c>
    </row>
    <row r="100" spans="1:18" x14ac:dyDescent="0.25">
      <c r="A100" s="33" t="s">
        <v>1328</v>
      </c>
      <c r="B100" s="23" t="s">
        <v>1061</v>
      </c>
      <c r="C100" s="22"/>
      <c r="D100" s="34" t="s">
        <v>1214</v>
      </c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5"/>
      <c r="Q100" s="3" t="str">
        <f t="shared" si="1"/>
        <v/>
      </c>
      <c r="R100" s="3">
        <v>100</v>
      </c>
    </row>
    <row r="101" spans="1:18" x14ac:dyDescent="0.25">
      <c r="A101" s="33" t="s">
        <v>1329</v>
      </c>
      <c r="B101" s="23">
        <v>1</v>
      </c>
      <c r="C101" s="22"/>
      <c r="D101" s="34" t="s">
        <v>1062</v>
      </c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5"/>
      <c r="Q101" s="3" t="str">
        <f t="shared" si="1"/>
        <v/>
      </c>
      <c r="R101" s="3">
        <v>101</v>
      </c>
    </row>
    <row r="102" spans="1:18" x14ac:dyDescent="0.25">
      <c r="A102" s="33" t="s">
        <v>1330</v>
      </c>
      <c r="B102" s="23">
        <v>1</v>
      </c>
      <c r="C102" s="22"/>
      <c r="D102" s="34" t="s">
        <v>1063</v>
      </c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5"/>
      <c r="Q102" s="3" t="str">
        <f t="shared" si="1"/>
        <v/>
      </c>
      <c r="R102" s="3">
        <v>102</v>
      </c>
    </row>
    <row r="103" spans="1:18" x14ac:dyDescent="0.25">
      <c r="A103" s="33" t="s">
        <v>1331</v>
      </c>
      <c r="B103" s="23">
        <v>0.5</v>
      </c>
      <c r="C103" s="22" t="s">
        <v>983</v>
      </c>
      <c r="D103" s="34" t="s">
        <v>1064</v>
      </c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5"/>
      <c r="Q103" s="3" t="str">
        <f t="shared" si="1"/>
        <v/>
      </c>
      <c r="R103" s="3">
        <v>103</v>
      </c>
    </row>
    <row r="104" spans="1:18" x14ac:dyDescent="0.25">
      <c r="A104" s="33" t="s">
        <v>1332</v>
      </c>
      <c r="B104" s="23">
        <v>0.5</v>
      </c>
      <c r="C104" s="22" t="s">
        <v>983</v>
      </c>
      <c r="D104" s="34" t="s">
        <v>1065</v>
      </c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5"/>
      <c r="Q104" s="3" t="str">
        <f t="shared" si="1"/>
        <v/>
      </c>
      <c r="R104" s="3">
        <v>104</v>
      </c>
    </row>
    <row r="105" spans="1:18" x14ac:dyDescent="0.25">
      <c r="A105" s="33" t="s">
        <v>1333</v>
      </c>
      <c r="B105" s="23" t="s">
        <v>1066</v>
      </c>
      <c r="C105" s="22"/>
      <c r="D105" s="34" t="s">
        <v>1067</v>
      </c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5"/>
      <c r="Q105" s="3" t="str">
        <f t="shared" si="1"/>
        <v/>
      </c>
      <c r="R105" s="3">
        <v>105</v>
      </c>
    </row>
    <row r="106" spans="1:18" x14ac:dyDescent="0.25">
      <c r="A106" s="33" t="s">
        <v>1334</v>
      </c>
      <c r="B106" s="23" t="s">
        <v>1466</v>
      </c>
      <c r="C106" s="22"/>
      <c r="D106" s="34" t="s">
        <v>1068</v>
      </c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5"/>
      <c r="Q106" s="3" t="str">
        <f t="shared" si="1"/>
        <v/>
      </c>
      <c r="R106" s="3">
        <v>106</v>
      </c>
    </row>
    <row r="107" spans="1:18" x14ac:dyDescent="0.25">
      <c r="A107" s="33" t="s">
        <v>1335</v>
      </c>
      <c r="B107" s="23">
        <v>1.5</v>
      </c>
      <c r="C107" s="22" t="s">
        <v>983</v>
      </c>
      <c r="D107" s="34" t="s">
        <v>1069</v>
      </c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5"/>
      <c r="Q107" s="3" t="str">
        <f t="shared" si="1"/>
        <v/>
      </c>
      <c r="R107" s="3">
        <v>107</v>
      </c>
    </row>
    <row r="108" spans="1:18" x14ac:dyDescent="0.25">
      <c r="A108" s="33" t="s">
        <v>1336</v>
      </c>
      <c r="B108" s="23">
        <v>140</v>
      </c>
      <c r="C108" s="22" t="s">
        <v>983</v>
      </c>
      <c r="D108" s="34" t="s">
        <v>1070</v>
      </c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5"/>
      <c r="Q108" s="3" t="str">
        <f t="shared" si="1"/>
        <v/>
      </c>
      <c r="R108" s="3">
        <v>108</v>
      </c>
    </row>
    <row r="109" spans="1:18" x14ac:dyDescent="0.25">
      <c r="A109" s="33" t="s">
        <v>1337</v>
      </c>
      <c r="B109" s="23">
        <v>0</v>
      </c>
      <c r="C109" s="22"/>
      <c r="D109" s="34" t="s">
        <v>1071</v>
      </c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5"/>
      <c r="Q109" s="3" t="str">
        <f t="shared" si="1"/>
        <v/>
      </c>
      <c r="R109" s="3">
        <v>109</v>
      </c>
    </row>
    <row r="110" spans="1:18" x14ac:dyDescent="0.25">
      <c r="A110" s="33" t="s">
        <v>1338</v>
      </c>
      <c r="B110" s="23">
        <v>0</v>
      </c>
      <c r="C110" s="22" t="s">
        <v>983</v>
      </c>
      <c r="D110" s="34" t="s">
        <v>1072</v>
      </c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5"/>
      <c r="Q110" s="3" t="str">
        <f t="shared" si="1"/>
        <v/>
      </c>
      <c r="R110" s="3">
        <v>110</v>
      </c>
    </row>
    <row r="111" spans="1:18" x14ac:dyDescent="0.25">
      <c r="A111" s="33" t="s">
        <v>1339</v>
      </c>
      <c r="B111" s="23">
        <v>0</v>
      </c>
      <c r="C111" s="22" t="s">
        <v>983</v>
      </c>
      <c r="D111" s="34" t="s">
        <v>1073</v>
      </c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5"/>
      <c r="Q111" s="3" t="str">
        <f t="shared" si="1"/>
        <v/>
      </c>
      <c r="R111" s="3">
        <v>111</v>
      </c>
    </row>
    <row r="112" spans="1:18" x14ac:dyDescent="0.25">
      <c r="A112" s="33" t="s">
        <v>1340</v>
      </c>
      <c r="B112" s="23">
        <v>140</v>
      </c>
      <c r="C112" s="22" t="s">
        <v>983</v>
      </c>
      <c r="D112" s="34" t="s">
        <v>1074</v>
      </c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5"/>
      <c r="Q112" s="3" t="str">
        <f t="shared" si="1"/>
        <v/>
      </c>
      <c r="R112" s="3">
        <v>112</v>
      </c>
    </row>
    <row r="113" spans="1:18" x14ac:dyDescent="0.25">
      <c r="A113" s="33" t="s">
        <v>1341</v>
      </c>
      <c r="B113" s="23" t="s">
        <v>1470</v>
      </c>
      <c r="C113" s="22"/>
      <c r="D113" s="34" t="s">
        <v>1075</v>
      </c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5"/>
      <c r="Q113" s="3" t="str">
        <f t="shared" si="1"/>
        <v/>
      </c>
      <c r="R113" s="3">
        <v>113</v>
      </c>
    </row>
    <row r="114" spans="1:18" x14ac:dyDescent="0.25">
      <c r="A114" s="33" t="s">
        <v>1342</v>
      </c>
      <c r="B114" s="23">
        <v>0</v>
      </c>
      <c r="C114" s="22"/>
      <c r="D114" s="34" t="s">
        <v>1215</v>
      </c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5"/>
      <c r="Q114" s="3" t="str">
        <f t="shared" si="1"/>
        <v/>
      </c>
      <c r="R114" s="3">
        <v>114</v>
      </c>
    </row>
    <row r="115" spans="1:18" x14ac:dyDescent="0.25">
      <c r="A115" s="33" t="s">
        <v>1343</v>
      </c>
      <c r="B115" s="23">
        <v>0</v>
      </c>
      <c r="C115" s="22"/>
      <c r="D115" s="34" t="s">
        <v>1076</v>
      </c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5"/>
      <c r="Q115" s="3" t="str">
        <f t="shared" si="1"/>
        <v/>
      </c>
      <c r="R115" s="3">
        <v>115</v>
      </c>
    </row>
    <row r="116" spans="1:18" x14ac:dyDescent="0.25">
      <c r="A116" s="33" t="s">
        <v>1344</v>
      </c>
      <c r="B116" s="23">
        <v>0</v>
      </c>
      <c r="C116" s="22" t="s">
        <v>983</v>
      </c>
      <c r="D116" s="34" t="s">
        <v>1077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5"/>
      <c r="Q116" s="3" t="str">
        <f t="shared" si="1"/>
        <v/>
      </c>
      <c r="R116" s="3">
        <v>116</v>
      </c>
    </row>
    <row r="117" spans="1:18" x14ac:dyDescent="0.25">
      <c r="A117" s="33" t="s">
        <v>1345</v>
      </c>
      <c r="B117" s="23">
        <v>0.95</v>
      </c>
      <c r="C117" s="22"/>
      <c r="D117" s="34" t="s">
        <v>1078</v>
      </c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5"/>
      <c r="Q117" s="3" t="str">
        <f t="shared" si="1"/>
        <v/>
      </c>
      <c r="R117" s="3">
        <v>117</v>
      </c>
    </row>
    <row r="118" spans="1:18" x14ac:dyDescent="0.25">
      <c r="A118" s="33" t="s">
        <v>1346</v>
      </c>
      <c r="B118" s="23">
        <v>42</v>
      </c>
      <c r="C118" s="22"/>
      <c r="D118" s="34" t="s">
        <v>1079</v>
      </c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5"/>
      <c r="Q118" s="3" t="str">
        <f t="shared" si="1"/>
        <v/>
      </c>
      <c r="R118" s="3">
        <v>118</v>
      </c>
    </row>
    <row r="119" spans="1:18" x14ac:dyDescent="0.25">
      <c r="A119" s="33" t="s">
        <v>1347</v>
      </c>
      <c r="B119" s="23" t="s">
        <v>1080</v>
      </c>
      <c r="C119" s="22"/>
      <c r="D119" s="34" t="s">
        <v>1216</v>
      </c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5"/>
      <c r="Q119" s="3" t="str">
        <f t="shared" si="1"/>
        <v/>
      </c>
      <c r="R119" s="3">
        <v>119</v>
      </c>
    </row>
    <row r="120" spans="1:18" x14ac:dyDescent="0.25">
      <c r="A120" s="33" t="s">
        <v>1348</v>
      </c>
      <c r="B120" s="23">
        <v>0</v>
      </c>
      <c r="C120" s="22"/>
      <c r="D120" s="34" t="s">
        <v>1217</v>
      </c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5"/>
      <c r="Q120" s="3" t="str">
        <f t="shared" si="1"/>
        <v/>
      </c>
      <c r="R120" s="3">
        <v>120</v>
      </c>
    </row>
    <row r="121" spans="1:18" x14ac:dyDescent="0.25">
      <c r="A121" s="33" t="s">
        <v>1349</v>
      </c>
      <c r="B121" s="23">
        <v>1</v>
      </c>
      <c r="C121" s="22"/>
      <c r="D121" s="34" t="s">
        <v>1081</v>
      </c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5"/>
      <c r="Q121" s="3" t="str">
        <f t="shared" si="1"/>
        <v/>
      </c>
      <c r="R121" s="3">
        <v>121</v>
      </c>
    </row>
    <row r="122" spans="1:18" x14ac:dyDescent="0.25">
      <c r="A122" s="33" t="s">
        <v>1350</v>
      </c>
      <c r="B122" s="23" t="s">
        <v>1082</v>
      </c>
      <c r="C122" s="22"/>
      <c r="D122" s="34" t="s">
        <v>1218</v>
      </c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5"/>
      <c r="Q122" s="3" t="str">
        <f t="shared" si="1"/>
        <v/>
      </c>
      <c r="R122" s="3">
        <v>122</v>
      </c>
    </row>
    <row r="123" spans="1:18" x14ac:dyDescent="0.25">
      <c r="A123" s="33" t="s">
        <v>1351</v>
      </c>
      <c r="B123" s="23">
        <v>0</v>
      </c>
      <c r="C123" s="22" t="s">
        <v>983</v>
      </c>
      <c r="D123" s="34" t="s">
        <v>1083</v>
      </c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5"/>
      <c r="Q123" s="3" t="str">
        <f t="shared" si="1"/>
        <v/>
      </c>
      <c r="R123" s="3">
        <v>123</v>
      </c>
    </row>
    <row r="124" spans="1:18" x14ac:dyDescent="0.25">
      <c r="A124" s="33" t="s">
        <v>1352</v>
      </c>
      <c r="B124" s="23">
        <v>0</v>
      </c>
      <c r="C124" s="22" t="s">
        <v>1192</v>
      </c>
      <c r="D124" s="34" t="s">
        <v>1236</v>
      </c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5"/>
      <c r="Q124" s="3" t="str">
        <f t="shared" si="1"/>
        <v/>
      </c>
      <c r="R124" s="3">
        <v>124</v>
      </c>
    </row>
    <row r="125" spans="1:18" x14ac:dyDescent="0.25">
      <c r="A125" s="33" t="s">
        <v>1353</v>
      </c>
      <c r="B125" s="23">
        <v>3</v>
      </c>
      <c r="C125" s="22" t="s">
        <v>983</v>
      </c>
      <c r="D125" s="34" t="s">
        <v>1084</v>
      </c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5"/>
      <c r="Q125" s="3" t="str">
        <f t="shared" si="1"/>
        <v/>
      </c>
      <c r="R125" s="3">
        <v>125</v>
      </c>
    </row>
    <row r="126" spans="1:18" x14ac:dyDescent="0.25">
      <c r="A126" s="33" t="s">
        <v>1354</v>
      </c>
      <c r="B126" s="23">
        <v>2</v>
      </c>
      <c r="C126" s="22" t="s">
        <v>983</v>
      </c>
      <c r="D126" s="34" t="s">
        <v>1085</v>
      </c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5"/>
      <c r="Q126" s="3" t="str">
        <f t="shared" si="1"/>
        <v/>
      </c>
      <c r="R126" s="3">
        <v>126</v>
      </c>
    </row>
    <row r="127" spans="1:18" x14ac:dyDescent="0.25">
      <c r="A127" s="33" t="s">
        <v>1355</v>
      </c>
      <c r="B127" s="23">
        <v>0</v>
      </c>
      <c r="C127" s="22" t="s">
        <v>983</v>
      </c>
      <c r="D127" s="34" t="s">
        <v>1219</v>
      </c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5"/>
      <c r="Q127" s="3" t="str">
        <f t="shared" si="1"/>
        <v/>
      </c>
      <c r="R127" s="3">
        <v>127</v>
      </c>
    </row>
    <row r="128" spans="1:18" x14ac:dyDescent="0.25">
      <c r="A128" s="33" t="s">
        <v>1356</v>
      </c>
      <c r="B128" s="23">
        <v>0</v>
      </c>
      <c r="C128" s="22" t="s">
        <v>983</v>
      </c>
      <c r="D128" s="34" t="s">
        <v>1086</v>
      </c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5"/>
      <c r="Q128" s="3" t="str">
        <f t="shared" si="1"/>
        <v/>
      </c>
      <c r="R128" s="3">
        <v>128</v>
      </c>
    </row>
    <row r="129" spans="1:18" x14ac:dyDescent="0.25">
      <c r="A129" s="33" t="s">
        <v>1357</v>
      </c>
      <c r="B129" s="23">
        <v>0</v>
      </c>
      <c r="C129" s="22" t="s">
        <v>983</v>
      </c>
      <c r="D129" s="34" t="s">
        <v>1220</v>
      </c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5"/>
      <c r="Q129" s="3" t="str">
        <f t="shared" si="1"/>
        <v/>
      </c>
      <c r="R129" s="3">
        <v>129</v>
      </c>
    </row>
    <row r="130" spans="1:18" x14ac:dyDescent="0.25">
      <c r="A130" s="33" t="s">
        <v>1358</v>
      </c>
      <c r="B130" s="23">
        <v>9.6999999999999993</v>
      </c>
      <c r="C130" s="22" t="s">
        <v>983</v>
      </c>
      <c r="D130" s="34" t="s">
        <v>1221</v>
      </c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5"/>
      <c r="Q130" s="3">
        <f t="shared" si="1"/>
        <v>1</v>
      </c>
      <c r="R130" s="3">
        <v>130</v>
      </c>
    </row>
    <row r="131" spans="1:18" x14ac:dyDescent="0.25">
      <c r="A131" s="33" t="s">
        <v>1359</v>
      </c>
      <c r="B131" s="23">
        <v>0</v>
      </c>
      <c r="C131" s="22" t="s">
        <v>983</v>
      </c>
      <c r="D131" s="34" t="s">
        <v>1087</v>
      </c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5"/>
      <c r="Q131" s="3" t="str">
        <f t="shared" si="1"/>
        <v/>
      </c>
      <c r="R131" s="3">
        <v>131</v>
      </c>
    </row>
    <row r="132" spans="1:18" x14ac:dyDescent="0.25">
      <c r="A132" s="33" t="s">
        <v>1360</v>
      </c>
      <c r="B132" s="23">
        <v>30.6</v>
      </c>
      <c r="C132" s="22" t="s">
        <v>983</v>
      </c>
      <c r="D132" s="34" t="s">
        <v>1088</v>
      </c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5"/>
      <c r="Q132" s="3" t="str">
        <f t="shared" si="1"/>
        <v/>
      </c>
      <c r="R132" s="3">
        <v>132</v>
      </c>
    </row>
    <row r="133" spans="1:18" x14ac:dyDescent="0.25">
      <c r="A133" s="33" t="s">
        <v>1361</v>
      </c>
      <c r="B133" s="23">
        <v>0</v>
      </c>
      <c r="C133" s="22" t="s">
        <v>983</v>
      </c>
      <c r="D133" s="34" t="s">
        <v>1089</v>
      </c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5"/>
      <c r="Q133" s="3" t="str">
        <f t="shared" si="1"/>
        <v/>
      </c>
      <c r="R133" s="3">
        <v>133</v>
      </c>
    </row>
    <row r="134" spans="1:18" x14ac:dyDescent="0.25">
      <c r="A134" s="33" t="s">
        <v>1362</v>
      </c>
      <c r="B134" s="23">
        <v>0</v>
      </c>
      <c r="C134" s="22" t="s">
        <v>983</v>
      </c>
      <c r="D134" s="34" t="s">
        <v>1090</v>
      </c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5"/>
      <c r="Q134" s="3" t="str">
        <f t="shared" si="1"/>
        <v/>
      </c>
      <c r="R134" s="3">
        <v>134</v>
      </c>
    </row>
    <row r="135" spans="1:18" x14ac:dyDescent="0.25">
      <c r="A135" s="33" t="s">
        <v>1363</v>
      </c>
      <c r="B135" s="23">
        <v>0</v>
      </c>
      <c r="C135" s="22" t="s">
        <v>983</v>
      </c>
      <c r="D135" s="34" t="s">
        <v>1091</v>
      </c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5"/>
      <c r="Q135" s="3" t="str">
        <f t="shared" si="1"/>
        <v/>
      </c>
      <c r="R135" s="3">
        <v>135</v>
      </c>
    </row>
    <row r="136" spans="1:18" x14ac:dyDescent="0.25">
      <c r="A136" s="33" t="s">
        <v>1364</v>
      </c>
      <c r="B136" s="23">
        <v>9</v>
      </c>
      <c r="C136" s="22" t="s">
        <v>983</v>
      </c>
      <c r="D136" s="34" t="s">
        <v>1222</v>
      </c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5"/>
      <c r="Q136" s="3" t="str">
        <f t="shared" si="1"/>
        <v/>
      </c>
      <c r="R136" s="3">
        <v>136</v>
      </c>
    </row>
    <row r="137" spans="1:18" x14ac:dyDescent="0.25">
      <c r="A137" s="33" t="s">
        <v>1365</v>
      </c>
      <c r="B137" s="23">
        <v>30</v>
      </c>
      <c r="C137" s="22" t="s">
        <v>983</v>
      </c>
      <c r="D137" s="34" t="s">
        <v>1223</v>
      </c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5"/>
      <c r="Q137" s="3" t="str">
        <f t="shared" ref="Q137:Q200" si="2">IF($P$7=A137,1,"")</f>
        <v/>
      </c>
      <c r="R137" s="3">
        <v>137</v>
      </c>
    </row>
    <row r="138" spans="1:18" x14ac:dyDescent="0.25">
      <c r="A138" s="33" t="s">
        <v>1366</v>
      </c>
      <c r="B138" s="23">
        <v>0</v>
      </c>
      <c r="C138" s="22" t="s">
        <v>983</v>
      </c>
      <c r="D138" s="34" t="s">
        <v>1092</v>
      </c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5"/>
      <c r="Q138" s="3" t="str">
        <f t="shared" si="2"/>
        <v/>
      </c>
      <c r="R138" s="3">
        <v>138</v>
      </c>
    </row>
    <row r="139" spans="1:18" x14ac:dyDescent="0.25">
      <c r="A139" s="33" t="s">
        <v>1367</v>
      </c>
      <c r="B139" s="23">
        <v>1.79</v>
      </c>
      <c r="C139" s="22" t="s">
        <v>1193</v>
      </c>
      <c r="D139" s="34" t="s">
        <v>1093</v>
      </c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5"/>
      <c r="Q139" s="3" t="str">
        <f t="shared" si="2"/>
        <v/>
      </c>
      <c r="R139" s="3">
        <v>139</v>
      </c>
    </row>
    <row r="140" spans="1:18" x14ac:dyDescent="0.25">
      <c r="A140" s="33" t="s">
        <v>1368</v>
      </c>
      <c r="B140" s="23">
        <v>3.9300000000000003E-3</v>
      </c>
      <c r="C140" s="22" t="s">
        <v>1094</v>
      </c>
      <c r="D140" s="34" t="s">
        <v>1095</v>
      </c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5"/>
      <c r="Q140" s="3" t="str">
        <f t="shared" si="2"/>
        <v/>
      </c>
      <c r="R140" s="3">
        <v>140</v>
      </c>
    </row>
    <row r="141" spans="1:18" x14ac:dyDescent="0.25">
      <c r="A141" s="33" t="s">
        <v>1369</v>
      </c>
      <c r="B141" s="23">
        <v>807</v>
      </c>
      <c r="C141" s="22" t="s">
        <v>983</v>
      </c>
      <c r="D141" s="34" t="s">
        <v>1096</v>
      </c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5"/>
      <c r="Q141" s="3" t="str">
        <f t="shared" si="2"/>
        <v/>
      </c>
      <c r="R141" s="3">
        <v>141</v>
      </c>
    </row>
    <row r="142" spans="1:18" x14ac:dyDescent="0.25">
      <c r="A142" s="33" t="s">
        <v>1370</v>
      </c>
      <c r="B142" s="23">
        <v>0</v>
      </c>
      <c r="C142" s="22" t="s">
        <v>1193</v>
      </c>
      <c r="D142" s="34" t="s">
        <v>1097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5"/>
      <c r="Q142" s="3" t="str">
        <f t="shared" si="2"/>
        <v/>
      </c>
      <c r="R142" s="3">
        <v>142</v>
      </c>
    </row>
    <row r="143" spans="1:18" x14ac:dyDescent="0.25">
      <c r="A143" s="33" t="s">
        <v>1357</v>
      </c>
      <c r="B143" s="23">
        <v>0</v>
      </c>
      <c r="C143" s="22" t="s">
        <v>1094</v>
      </c>
      <c r="D143" s="34" t="s">
        <v>1098</v>
      </c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5"/>
      <c r="Q143" s="3" t="str">
        <f t="shared" si="2"/>
        <v/>
      </c>
      <c r="R143" s="3">
        <v>143</v>
      </c>
    </row>
    <row r="144" spans="1:18" x14ac:dyDescent="0.25">
      <c r="A144" s="33" t="s">
        <v>1371</v>
      </c>
      <c r="B144" s="23">
        <v>0</v>
      </c>
      <c r="C144" s="22" t="s">
        <v>983</v>
      </c>
      <c r="D144" s="34" t="s">
        <v>1099</v>
      </c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5"/>
      <c r="Q144" s="3" t="str">
        <f t="shared" si="2"/>
        <v/>
      </c>
      <c r="R144" s="3">
        <v>144</v>
      </c>
    </row>
    <row r="145" spans="1:18" x14ac:dyDescent="0.25">
      <c r="A145" s="33" t="s">
        <v>1372</v>
      </c>
      <c r="B145" s="23">
        <v>1.79</v>
      </c>
      <c r="C145" s="22" t="s">
        <v>1193</v>
      </c>
      <c r="D145" s="34" t="s">
        <v>1100</v>
      </c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5"/>
      <c r="Q145" s="3" t="str">
        <f t="shared" si="2"/>
        <v/>
      </c>
      <c r="R145" s="3">
        <v>145</v>
      </c>
    </row>
    <row r="146" spans="1:18" x14ac:dyDescent="0.25">
      <c r="A146" s="33" t="s">
        <v>1357</v>
      </c>
      <c r="B146" s="23">
        <v>3.9300000000000003E-3</v>
      </c>
      <c r="C146" s="22" t="s">
        <v>1094</v>
      </c>
      <c r="D146" s="34" t="s">
        <v>1101</v>
      </c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5"/>
      <c r="Q146" s="3" t="str">
        <f t="shared" si="2"/>
        <v/>
      </c>
      <c r="R146" s="3">
        <v>146</v>
      </c>
    </row>
    <row r="147" spans="1:18" x14ac:dyDescent="0.25">
      <c r="A147" s="33" t="s">
        <v>1373</v>
      </c>
      <c r="B147" s="23">
        <v>15</v>
      </c>
      <c r="C147" s="22" t="s">
        <v>983</v>
      </c>
      <c r="D147" s="34" t="s">
        <v>1102</v>
      </c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5"/>
      <c r="Q147" s="3" t="str">
        <f t="shared" si="2"/>
        <v/>
      </c>
      <c r="R147" s="3">
        <v>147</v>
      </c>
    </row>
    <row r="148" spans="1:18" x14ac:dyDescent="0.25">
      <c r="A148" s="33" t="s">
        <v>1374</v>
      </c>
      <c r="B148" s="23">
        <v>60</v>
      </c>
      <c r="C148" s="22" t="s">
        <v>983</v>
      </c>
      <c r="D148" s="34" t="s">
        <v>1103</v>
      </c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5"/>
      <c r="Q148" s="3" t="str">
        <f t="shared" si="2"/>
        <v/>
      </c>
      <c r="R148" s="3">
        <v>148</v>
      </c>
    </row>
    <row r="149" spans="1:18" x14ac:dyDescent="0.25">
      <c r="A149" s="33" t="s">
        <v>1375</v>
      </c>
      <c r="B149" s="23">
        <v>350.5</v>
      </c>
      <c r="C149" s="22" t="s">
        <v>983</v>
      </c>
      <c r="D149" s="34" t="s">
        <v>1104</v>
      </c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5"/>
      <c r="Q149" s="3" t="str">
        <f t="shared" si="2"/>
        <v/>
      </c>
      <c r="R149" s="3">
        <v>149</v>
      </c>
    </row>
    <row r="150" spans="1:18" x14ac:dyDescent="0.25">
      <c r="A150" s="33" t="s">
        <v>1376</v>
      </c>
      <c r="B150" s="23">
        <v>0</v>
      </c>
      <c r="C150" s="22" t="s">
        <v>1193</v>
      </c>
      <c r="D150" s="34" t="s">
        <v>1105</v>
      </c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5"/>
      <c r="Q150" s="3" t="str">
        <f t="shared" si="2"/>
        <v/>
      </c>
      <c r="R150" s="3">
        <v>150</v>
      </c>
    </row>
    <row r="151" spans="1:18" x14ac:dyDescent="0.25">
      <c r="A151" s="33" t="s">
        <v>1357</v>
      </c>
      <c r="B151" s="23">
        <v>0</v>
      </c>
      <c r="C151" s="22" t="s">
        <v>1094</v>
      </c>
      <c r="D151" s="34" t="s">
        <v>1106</v>
      </c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5"/>
      <c r="Q151" s="3" t="str">
        <f t="shared" si="2"/>
        <v/>
      </c>
      <c r="R151" s="3">
        <v>151</v>
      </c>
    </row>
    <row r="152" spans="1:18" x14ac:dyDescent="0.25">
      <c r="A152" s="33" t="s">
        <v>1377</v>
      </c>
      <c r="B152" s="23">
        <v>0</v>
      </c>
      <c r="C152" s="22" t="s">
        <v>983</v>
      </c>
      <c r="D152" s="34" t="s">
        <v>1107</v>
      </c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5"/>
      <c r="Q152" s="3" t="str">
        <f t="shared" si="2"/>
        <v/>
      </c>
      <c r="R152" s="3">
        <v>152</v>
      </c>
    </row>
    <row r="153" spans="1:18" x14ac:dyDescent="0.25">
      <c r="A153" s="33" t="s">
        <v>1378</v>
      </c>
      <c r="B153" s="23">
        <v>0</v>
      </c>
      <c r="C153" s="22" t="s">
        <v>983</v>
      </c>
      <c r="D153" s="34" t="s">
        <v>1108</v>
      </c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5"/>
      <c r="Q153" s="3" t="str">
        <f t="shared" si="2"/>
        <v/>
      </c>
      <c r="R153" s="3">
        <v>153</v>
      </c>
    </row>
    <row r="154" spans="1:18" x14ac:dyDescent="0.25">
      <c r="A154" s="33" t="s">
        <v>1379</v>
      </c>
      <c r="B154" s="23">
        <v>0</v>
      </c>
      <c r="C154" s="22" t="s">
        <v>983</v>
      </c>
      <c r="D154" s="34" t="s">
        <v>1109</v>
      </c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5"/>
      <c r="Q154" s="3" t="str">
        <f t="shared" si="2"/>
        <v/>
      </c>
      <c r="R154" s="3">
        <v>154</v>
      </c>
    </row>
    <row r="155" spans="1:18" x14ac:dyDescent="0.25">
      <c r="A155" s="33" t="s">
        <v>1380</v>
      </c>
      <c r="B155" s="23">
        <v>36</v>
      </c>
      <c r="C155" s="22"/>
      <c r="D155" s="34" t="s">
        <v>1110</v>
      </c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5"/>
      <c r="Q155" s="3" t="str">
        <f t="shared" si="2"/>
        <v/>
      </c>
      <c r="R155" s="3">
        <v>155</v>
      </c>
    </row>
    <row r="156" spans="1:18" x14ac:dyDescent="0.25">
      <c r="A156" s="33" t="s">
        <v>1381</v>
      </c>
      <c r="B156" s="23">
        <v>14</v>
      </c>
      <c r="C156" s="22" t="s">
        <v>983</v>
      </c>
      <c r="D156" s="34" t="s">
        <v>1111</v>
      </c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5"/>
      <c r="Q156" s="3" t="str">
        <f t="shared" si="2"/>
        <v/>
      </c>
      <c r="R156" s="3">
        <v>156</v>
      </c>
    </row>
    <row r="157" spans="1:18" x14ac:dyDescent="0.25">
      <c r="A157" s="33" t="s">
        <v>1382</v>
      </c>
      <c r="B157" s="23">
        <v>8</v>
      </c>
      <c r="C157" s="22" t="s">
        <v>983</v>
      </c>
      <c r="D157" s="34" t="s">
        <v>1112</v>
      </c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5"/>
      <c r="Q157" s="3" t="str">
        <f t="shared" si="2"/>
        <v/>
      </c>
      <c r="R157" s="3">
        <v>157</v>
      </c>
    </row>
    <row r="158" spans="1:18" x14ac:dyDescent="0.25">
      <c r="A158" s="33" t="s">
        <v>1383</v>
      </c>
      <c r="B158" s="23">
        <v>45</v>
      </c>
      <c r="C158" s="22" t="s">
        <v>983</v>
      </c>
      <c r="D158" s="34" t="s">
        <v>1113</v>
      </c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5"/>
      <c r="Q158" s="3" t="str">
        <f t="shared" si="2"/>
        <v/>
      </c>
      <c r="R158" s="3">
        <v>158</v>
      </c>
    </row>
    <row r="159" spans="1:18" x14ac:dyDescent="0.25">
      <c r="A159" s="33" t="s">
        <v>1384</v>
      </c>
      <c r="B159" s="23">
        <v>267</v>
      </c>
      <c r="C159" s="22" t="s">
        <v>983</v>
      </c>
      <c r="D159" s="34" t="s">
        <v>1114</v>
      </c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5"/>
      <c r="Q159" s="3" t="str">
        <f t="shared" si="2"/>
        <v/>
      </c>
      <c r="R159" s="3">
        <v>159</v>
      </c>
    </row>
    <row r="160" spans="1:18" x14ac:dyDescent="0.25">
      <c r="A160" s="33" t="s">
        <v>1357</v>
      </c>
      <c r="B160" s="23"/>
      <c r="C160" s="22"/>
      <c r="D160" s="34" t="s">
        <v>1224</v>
      </c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5"/>
      <c r="Q160" s="3" t="str">
        <f t="shared" si="2"/>
        <v/>
      </c>
      <c r="R160" s="3">
        <v>160</v>
      </c>
    </row>
    <row r="161" spans="1:18" x14ac:dyDescent="0.25">
      <c r="A161" s="33" t="s">
        <v>1385</v>
      </c>
      <c r="B161" s="23"/>
      <c r="C161" s="22"/>
      <c r="D161" s="34" t="s">
        <v>1115</v>
      </c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5"/>
      <c r="Q161" s="3" t="str">
        <f t="shared" si="2"/>
        <v/>
      </c>
      <c r="R161" s="3">
        <v>161</v>
      </c>
    </row>
    <row r="162" spans="1:18" x14ac:dyDescent="0.25">
      <c r="A162" s="33" t="s">
        <v>1386</v>
      </c>
      <c r="B162" s="23"/>
      <c r="C162" s="22"/>
      <c r="D162" s="34" t="s">
        <v>1116</v>
      </c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5"/>
      <c r="Q162" s="3" t="str">
        <f t="shared" si="2"/>
        <v/>
      </c>
      <c r="R162" s="3">
        <v>162</v>
      </c>
    </row>
    <row r="163" spans="1:18" x14ac:dyDescent="0.25">
      <c r="A163" s="33" t="s">
        <v>1387</v>
      </c>
      <c r="B163" s="23"/>
      <c r="C163" s="22"/>
      <c r="D163" s="34" t="s">
        <v>1117</v>
      </c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5"/>
      <c r="Q163" s="3" t="str">
        <f t="shared" si="2"/>
        <v/>
      </c>
      <c r="R163" s="3">
        <v>163</v>
      </c>
    </row>
    <row r="164" spans="1:18" x14ac:dyDescent="0.25">
      <c r="A164" s="33" t="s">
        <v>1388</v>
      </c>
      <c r="B164" s="23"/>
      <c r="C164" s="22"/>
      <c r="D164" s="34" t="s">
        <v>1118</v>
      </c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5"/>
      <c r="Q164" s="3" t="str">
        <f t="shared" si="2"/>
        <v/>
      </c>
      <c r="R164" s="3">
        <v>164</v>
      </c>
    </row>
    <row r="165" spans="1:18" x14ac:dyDescent="0.25">
      <c r="A165" s="33" t="s">
        <v>1389</v>
      </c>
      <c r="B165" s="23"/>
      <c r="C165" s="22"/>
      <c r="D165" s="34" t="s">
        <v>1119</v>
      </c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5"/>
      <c r="Q165" s="3" t="str">
        <f t="shared" si="2"/>
        <v/>
      </c>
      <c r="R165" s="3">
        <v>165</v>
      </c>
    </row>
    <row r="166" spans="1:18" x14ac:dyDescent="0.25">
      <c r="A166" s="33" t="s">
        <v>1390</v>
      </c>
      <c r="B166" s="23"/>
      <c r="C166" s="22"/>
      <c r="D166" s="34" t="s">
        <v>1120</v>
      </c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5"/>
      <c r="Q166" s="3" t="str">
        <f t="shared" si="2"/>
        <v/>
      </c>
      <c r="R166" s="3">
        <v>166</v>
      </c>
    </row>
    <row r="167" spans="1:18" x14ac:dyDescent="0.25">
      <c r="A167" s="33" t="s">
        <v>1391</v>
      </c>
      <c r="B167" s="23"/>
      <c r="C167" s="22" t="s">
        <v>983</v>
      </c>
      <c r="D167" s="34" t="s">
        <v>1121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5"/>
      <c r="Q167" s="3" t="str">
        <f t="shared" si="2"/>
        <v/>
      </c>
      <c r="R167" s="3">
        <v>167</v>
      </c>
    </row>
    <row r="168" spans="1:18" x14ac:dyDescent="0.25">
      <c r="A168" s="33" t="s">
        <v>1392</v>
      </c>
      <c r="B168" s="23"/>
      <c r="C168" s="22" t="s">
        <v>1039</v>
      </c>
      <c r="D168" s="34" t="s">
        <v>1122</v>
      </c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5"/>
      <c r="Q168" s="3" t="str">
        <f t="shared" si="2"/>
        <v/>
      </c>
      <c r="R168" s="3">
        <v>168</v>
      </c>
    </row>
    <row r="169" spans="1:18" x14ac:dyDescent="0.25">
      <c r="A169" s="33" t="s">
        <v>1393</v>
      </c>
      <c r="B169" s="23"/>
      <c r="C169" s="22"/>
      <c r="D169" s="34" t="s">
        <v>1123</v>
      </c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5"/>
      <c r="Q169" s="3" t="str">
        <f t="shared" si="2"/>
        <v/>
      </c>
      <c r="R169" s="3">
        <v>169</v>
      </c>
    </row>
    <row r="170" spans="1:18" x14ac:dyDescent="0.25">
      <c r="A170" s="33" t="s">
        <v>1394</v>
      </c>
      <c r="B170" s="23"/>
      <c r="C170" s="22" t="s">
        <v>983</v>
      </c>
      <c r="D170" s="34" t="s">
        <v>1124</v>
      </c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5"/>
      <c r="Q170" s="3" t="str">
        <f t="shared" si="2"/>
        <v/>
      </c>
      <c r="R170" s="3">
        <v>170</v>
      </c>
    </row>
    <row r="171" spans="1:18" x14ac:dyDescent="0.25">
      <c r="A171" s="33" t="s">
        <v>1395</v>
      </c>
      <c r="B171" s="23"/>
      <c r="C171" s="22" t="s">
        <v>983</v>
      </c>
      <c r="D171" s="34" t="s">
        <v>1125</v>
      </c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5"/>
      <c r="Q171" s="3" t="str">
        <f t="shared" si="2"/>
        <v/>
      </c>
      <c r="R171" s="3">
        <v>171</v>
      </c>
    </row>
    <row r="172" spans="1:18" x14ac:dyDescent="0.25">
      <c r="A172" s="33" t="s">
        <v>1396</v>
      </c>
      <c r="B172" s="23"/>
      <c r="C172" s="22"/>
      <c r="D172" s="34" t="s">
        <v>1126</v>
      </c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5"/>
      <c r="Q172" s="3" t="str">
        <f t="shared" si="2"/>
        <v/>
      </c>
      <c r="R172" s="3">
        <v>172</v>
      </c>
    </row>
    <row r="173" spans="1:18" x14ac:dyDescent="0.25">
      <c r="A173" s="33" t="s">
        <v>1397</v>
      </c>
      <c r="B173" s="23"/>
      <c r="C173" s="22" t="s">
        <v>1039</v>
      </c>
      <c r="D173" s="34" t="s">
        <v>1127</v>
      </c>
      <c r="E173" s="34"/>
      <c r="F173" s="34"/>
      <c r="G173" s="34"/>
      <c r="H173" s="34"/>
      <c r="I173" s="34"/>
      <c r="J173" s="34"/>
      <c r="K173" s="34"/>
      <c r="L173" s="34"/>
      <c r="M173" s="34"/>
      <c r="N173" s="34"/>
      <c r="O173" s="34"/>
      <c r="P173" s="35"/>
      <c r="Q173" s="3" t="str">
        <f t="shared" si="2"/>
        <v/>
      </c>
      <c r="R173" s="3">
        <v>173</v>
      </c>
    </row>
    <row r="174" spans="1:18" x14ac:dyDescent="0.25">
      <c r="A174" s="33" t="s">
        <v>1398</v>
      </c>
      <c r="B174" s="23">
        <v>0.2</v>
      </c>
      <c r="C174" s="22" t="s">
        <v>1039</v>
      </c>
      <c r="D174" s="34" t="s">
        <v>1128</v>
      </c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  <c r="P174" s="35"/>
      <c r="Q174" s="3" t="str">
        <f t="shared" si="2"/>
        <v/>
      </c>
      <c r="R174" s="3">
        <v>174</v>
      </c>
    </row>
    <row r="175" spans="1:18" x14ac:dyDescent="0.25">
      <c r="A175" s="33" t="s">
        <v>1399</v>
      </c>
      <c r="B175" s="23">
        <v>5</v>
      </c>
      <c r="C175" s="22"/>
      <c r="D175" s="34" t="s">
        <v>1225</v>
      </c>
      <c r="E175" s="34"/>
      <c r="F175" s="34"/>
      <c r="G175" s="34"/>
      <c r="H175" s="34"/>
      <c r="I175" s="34"/>
      <c r="J175" s="34"/>
      <c r="K175" s="34"/>
      <c r="L175" s="34"/>
      <c r="M175" s="34"/>
      <c r="N175" s="34"/>
      <c r="O175" s="34"/>
      <c r="P175" s="35"/>
      <c r="Q175" s="3" t="str">
        <f t="shared" si="2"/>
        <v/>
      </c>
      <c r="R175" s="3">
        <v>175</v>
      </c>
    </row>
    <row r="176" spans="1:18" x14ac:dyDescent="0.25">
      <c r="A176" s="33" t="s">
        <v>1400</v>
      </c>
      <c r="B176" s="23">
        <v>1.25</v>
      </c>
      <c r="C176" s="22" t="s">
        <v>1039</v>
      </c>
      <c r="D176" s="34" t="s">
        <v>1129</v>
      </c>
      <c r="E176" s="34"/>
      <c r="F176" s="34"/>
      <c r="G176" s="34"/>
      <c r="H176" s="34"/>
      <c r="I176" s="34"/>
      <c r="J176" s="34"/>
      <c r="K176" s="34"/>
      <c r="L176" s="34"/>
      <c r="M176" s="34"/>
      <c r="N176" s="34"/>
      <c r="O176" s="34"/>
      <c r="P176" s="35"/>
      <c r="Q176" s="3" t="str">
        <f t="shared" si="2"/>
        <v/>
      </c>
      <c r="R176" s="3">
        <v>176</v>
      </c>
    </row>
    <row r="177" spans="1:18" x14ac:dyDescent="0.25">
      <c r="A177" s="33" t="s">
        <v>1401</v>
      </c>
      <c r="B177" s="23">
        <v>0.75</v>
      </c>
      <c r="C177" s="22" t="s">
        <v>1039</v>
      </c>
      <c r="D177" s="34" t="s">
        <v>1130</v>
      </c>
      <c r="E177" s="34"/>
      <c r="F177" s="34"/>
      <c r="G177" s="34"/>
      <c r="H177" s="34"/>
      <c r="I177" s="34"/>
      <c r="J177" s="34"/>
      <c r="K177" s="34"/>
      <c r="L177" s="34"/>
      <c r="M177" s="34"/>
      <c r="N177" s="34"/>
      <c r="O177" s="34"/>
      <c r="P177" s="35"/>
      <c r="Q177" s="3" t="str">
        <f t="shared" si="2"/>
        <v/>
      </c>
      <c r="R177" s="3">
        <v>177</v>
      </c>
    </row>
    <row r="178" spans="1:18" x14ac:dyDescent="0.25">
      <c r="A178" s="33" t="s">
        <v>1402</v>
      </c>
      <c r="B178" s="23">
        <v>0.5</v>
      </c>
      <c r="C178" s="22" t="s">
        <v>1039</v>
      </c>
      <c r="D178" s="34" t="s">
        <v>1131</v>
      </c>
      <c r="E178" s="34"/>
      <c r="F178" s="34"/>
      <c r="G178" s="34"/>
      <c r="H178" s="34"/>
      <c r="I178" s="34"/>
      <c r="J178" s="34"/>
      <c r="K178" s="34"/>
      <c r="L178" s="34"/>
      <c r="M178" s="34"/>
      <c r="N178" s="34"/>
      <c r="O178" s="34"/>
      <c r="P178" s="35"/>
      <c r="Q178" s="3" t="str">
        <f t="shared" si="2"/>
        <v/>
      </c>
      <c r="R178" s="3">
        <v>178</v>
      </c>
    </row>
    <row r="179" spans="1:18" x14ac:dyDescent="0.25">
      <c r="A179" s="33" t="s">
        <v>1403</v>
      </c>
      <c r="B179" s="23">
        <v>0.25</v>
      </c>
      <c r="C179" s="22" t="s">
        <v>1039</v>
      </c>
      <c r="D179" s="34" t="s">
        <v>1132</v>
      </c>
      <c r="E179" s="34"/>
      <c r="F179" s="34"/>
      <c r="G179" s="34"/>
      <c r="H179" s="34"/>
      <c r="I179" s="34"/>
      <c r="J179" s="34"/>
      <c r="K179" s="34"/>
      <c r="L179" s="34"/>
      <c r="M179" s="34"/>
      <c r="N179" s="34"/>
      <c r="O179" s="34"/>
      <c r="P179" s="35"/>
      <c r="Q179" s="3" t="str">
        <f t="shared" si="2"/>
        <v/>
      </c>
      <c r="R179" s="3">
        <v>179</v>
      </c>
    </row>
    <row r="180" spans="1:18" x14ac:dyDescent="0.25">
      <c r="A180" s="33" t="s">
        <v>1404</v>
      </c>
      <c r="B180" s="23">
        <v>0</v>
      </c>
      <c r="C180" s="22" t="s">
        <v>1039</v>
      </c>
      <c r="D180" s="34" t="s">
        <v>1133</v>
      </c>
      <c r="E180" s="34"/>
      <c r="F180" s="34"/>
      <c r="G180" s="34"/>
      <c r="H180" s="34"/>
      <c r="I180" s="34"/>
      <c r="J180" s="34"/>
      <c r="K180" s="34"/>
      <c r="L180" s="34"/>
      <c r="M180" s="34"/>
      <c r="N180" s="34"/>
      <c r="O180" s="34"/>
      <c r="P180" s="35"/>
      <c r="Q180" s="3" t="str">
        <f t="shared" si="2"/>
        <v/>
      </c>
      <c r="R180" s="3">
        <v>180</v>
      </c>
    </row>
    <row r="181" spans="1:18" x14ac:dyDescent="0.25">
      <c r="A181" s="33" t="s">
        <v>1405</v>
      </c>
      <c r="B181" s="23">
        <v>2</v>
      </c>
      <c r="C181" s="22"/>
      <c r="D181" s="34" t="s">
        <v>1134</v>
      </c>
      <c r="E181" s="34"/>
      <c r="F181" s="34"/>
      <c r="G181" s="34"/>
      <c r="H181" s="34"/>
      <c r="I181" s="34"/>
      <c r="J181" s="34"/>
      <c r="K181" s="34"/>
      <c r="L181" s="34"/>
      <c r="M181" s="34"/>
      <c r="N181" s="34"/>
      <c r="O181" s="34"/>
      <c r="P181" s="35"/>
      <c r="Q181" s="3" t="str">
        <f t="shared" si="2"/>
        <v/>
      </c>
      <c r="R181" s="3">
        <v>181</v>
      </c>
    </row>
    <row r="182" spans="1:18" x14ac:dyDescent="0.25">
      <c r="A182" s="33" t="s">
        <v>1406</v>
      </c>
      <c r="B182" s="23">
        <v>1</v>
      </c>
      <c r="C182" s="22" t="s">
        <v>1039</v>
      </c>
      <c r="D182" s="34" t="s">
        <v>1135</v>
      </c>
      <c r="E182" s="34"/>
      <c r="F182" s="34"/>
      <c r="G182" s="34"/>
      <c r="H182" s="34"/>
      <c r="I182" s="34"/>
      <c r="J182" s="34"/>
      <c r="K182" s="34"/>
      <c r="L182" s="34"/>
      <c r="M182" s="34"/>
      <c r="N182" s="34"/>
      <c r="O182" s="34"/>
      <c r="P182" s="35"/>
      <c r="Q182" s="3" t="str">
        <f t="shared" si="2"/>
        <v/>
      </c>
      <c r="R182" s="3">
        <v>182</v>
      </c>
    </row>
    <row r="183" spans="1:18" x14ac:dyDescent="0.25">
      <c r="A183" s="33" t="s">
        <v>1407</v>
      </c>
      <c r="B183" s="23">
        <v>0.8</v>
      </c>
      <c r="C183" s="22" t="s">
        <v>1039</v>
      </c>
      <c r="D183" s="34" t="s">
        <v>1136</v>
      </c>
      <c r="E183" s="34"/>
      <c r="F183" s="34"/>
      <c r="G183" s="34"/>
      <c r="H183" s="34"/>
      <c r="I183" s="34"/>
      <c r="J183" s="34"/>
      <c r="K183" s="34"/>
      <c r="L183" s="34"/>
      <c r="M183" s="34"/>
      <c r="N183" s="34"/>
      <c r="O183" s="34"/>
      <c r="P183" s="35"/>
      <c r="Q183" s="3" t="str">
        <f t="shared" si="2"/>
        <v/>
      </c>
      <c r="R183" s="3">
        <v>183</v>
      </c>
    </row>
    <row r="184" spans="1:18" x14ac:dyDescent="0.25">
      <c r="A184" s="33" t="s">
        <v>1408</v>
      </c>
      <c r="B184" s="23">
        <v>0.7</v>
      </c>
      <c r="C184" s="22" t="s">
        <v>1039</v>
      </c>
      <c r="D184" s="34" t="s">
        <v>1137</v>
      </c>
      <c r="E184" s="34"/>
      <c r="F184" s="34"/>
      <c r="G184" s="34"/>
      <c r="H184" s="34"/>
      <c r="I184" s="34"/>
      <c r="J184" s="34"/>
      <c r="K184" s="34"/>
      <c r="L184" s="34"/>
      <c r="M184" s="34"/>
      <c r="N184" s="34"/>
      <c r="O184" s="34"/>
      <c r="P184" s="35"/>
      <c r="Q184" s="3" t="str">
        <f t="shared" si="2"/>
        <v/>
      </c>
      <c r="R184" s="3">
        <v>184</v>
      </c>
    </row>
    <row r="185" spans="1:18" x14ac:dyDescent="0.25">
      <c r="A185" s="33" t="s">
        <v>1409</v>
      </c>
      <c r="B185" s="23">
        <v>0</v>
      </c>
      <c r="C185" s="22" t="s">
        <v>1039</v>
      </c>
      <c r="D185" s="34" t="s">
        <v>1138</v>
      </c>
      <c r="E185" s="34"/>
      <c r="F185" s="34"/>
      <c r="G185" s="34"/>
      <c r="H185" s="34"/>
      <c r="I185" s="34"/>
      <c r="J185" s="34"/>
      <c r="K185" s="34"/>
      <c r="L185" s="34"/>
      <c r="M185" s="34"/>
      <c r="N185" s="34"/>
      <c r="O185" s="34"/>
      <c r="P185" s="35"/>
      <c r="Q185" s="3" t="str">
        <f t="shared" si="2"/>
        <v/>
      </c>
      <c r="R185" s="3">
        <v>185</v>
      </c>
    </row>
    <row r="186" spans="1:18" x14ac:dyDescent="0.25">
      <c r="A186" s="33" t="s">
        <v>1410</v>
      </c>
      <c r="B186" s="23">
        <v>0</v>
      </c>
      <c r="C186" s="22" t="s">
        <v>1039</v>
      </c>
      <c r="D186" s="34" t="s">
        <v>1139</v>
      </c>
      <c r="E186" s="34"/>
      <c r="F186" s="34"/>
      <c r="G186" s="34"/>
      <c r="H186" s="34"/>
      <c r="I186" s="34"/>
      <c r="J186" s="34"/>
      <c r="K186" s="34"/>
      <c r="L186" s="34"/>
      <c r="M186" s="34"/>
      <c r="N186" s="34"/>
      <c r="O186" s="34"/>
      <c r="P186" s="35"/>
      <c r="Q186" s="3" t="str">
        <f t="shared" si="2"/>
        <v/>
      </c>
      <c r="R186" s="3">
        <v>186</v>
      </c>
    </row>
    <row r="187" spans="1:18" x14ac:dyDescent="0.25">
      <c r="A187" s="33" t="s">
        <v>1411</v>
      </c>
      <c r="B187" s="23">
        <v>0</v>
      </c>
      <c r="C187" s="22" t="s">
        <v>1039</v>
      </c>
      <c r="D187" s="34" t="s">
        <v>1140</v>
      </c>
      <c r="E187" s="34"/>
      <c r="F187" s="34"/>
      <c r="G187" s="34"/>
      <c r="H187" s="34"/>
      <c r="I187" s="34"/>
      <c r="J187" s="34"/>
      <c r="K187" s="34"/>
      <c r="L187" s="34"/>
      <c r="M187" s="34"/>
      <c r="N187" s="34"/>
      <c r="O187" s="34"/>
      <c r="P187" s="35"/>
      <c r="Q187" s="3" t="str">
        <f t="shared" si="2"/>
        <v/>
      </c>
      <c r="R187" s="3">
        <v>187</v>
      </c>
    </row>
    <row r="188" spans="1:18" x14ac:dyDescent="0.25">
      <c r="A188" s="33" t="s">
        <v>1412</v>
      </c>
      <c r="B188" s="23">
        <v>1</v>
      </c>
      <c r="C188" s="22"/>
      <c r="D188" s="34" t="s">
        <v>1226</v>
      </c>
      <c r="E188" s="34"/>
      <c r="F188" s="34"/>
      <c r="G188" s="34"/>
      <c r="H188" s="34"/>
      <c r="I188" s="34"/>
      <c r="J188" s="34"/>
      <c r="K188" s="34"/>
      <c r="L188" s="34"/>
      <c r="M188" s="34"/>
      <c r="N188" s="34"/>
      <c r="O188" s="34"/>
      <c r="P188" s="35"/>
      <c r="Q188" s="3" t="str">
        <f t="shared" si="2"/>
        <v/>
      </c>
      <c r="R188" s="3">
        <v>188</v>
      </c>
    </row>
    <row r="189" spans="1:18" x14ac:dyDescent="0.25">
      <c r="A189" s="33" t="s">
        <v>1413</v>
      </c>
      <c r="B189" s="23">
        <v>0.90000000099999999</v>
      </c>
      <c r="C189" s="22" t="s">
        <v>1039</v>
      </c>
      <c r="D189" s="34" t="s">
        <v>1141</v>
      </c>
      <c r="E189" s="34"/>
      <c r="F189" s="34"/>
      <c r="G189" s="34"/>
      <c r="H189" s="34"/>
      <c r="I189" s="34"/>
      <c r="J189" s="34"/>
      <c r="K189" s="34"/>
      <c r="L189" s="34"/>
      <c r="M189" s="34"/>
      <c r="N189" s="34"/>
      <c r="O189" s="34"/>
      <c r="P189" s="35"/>
      <c r="Q189" s="3" t="str">
        <f t="shared" si="2"/>
        <v/>
      </c>
      <c r="R189" s="3">
        <v>189</v>
      </c>
    </row>
    <row r="190" spans="1:18" x14ac:dyDescent="0.25">
      <c r="A190" s="33" t="s">
        <v>1414</v>
      </c>
      <c r="B190" s="23">
        <v>50</v>
      </c>
      <c r="C190" s="22" t="s">
        <v>1142</v>
      </c>
      <c r="D190" s="34" t="s">
        <v>1143</v>
      </c>
      <c r="E190" s="34"/>
      <c r="F190" s="34"/>
      <c r="G190" s="34"/>
      <c r="H190" s="34"/>
      <c r="I190" s="34"/>
      <c r="J190" s="34"/>
      <c r="K190" s="34"/>
      <c r="L190" s="34"/>
      <c r="M190" s="34"/>
      <c r="N190" s="34"/>
      <c r="O190" s="34"/>
      <c r="P190" s="35"/>
      <c r="Q190" s="3" t="str">
        <f t="shared" si="2"/>
        <v/>
      </c>
      <c r="R190" s="3">
        <v>190</v>
      </c>
    </row>
    <row r="191" spans="1:18" x14ac:dyDescent="0.25">
      <c r="A191" s="33" t="s">
        <v>1415</v>
      </c>
      <c r="B191" s="23">
        <v>0.15</v>
      </c>
      <c r="C191" s="22" t="s">
        <v>1039</v>
      </c>
      <c r="D191" s="34" t="s">
        <v>1144</v>
      </c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  <c r="P191" s="35"/>
      <c r="Q191" s="3" t="str">
        <f t="shared" si="2"/>
        <v/>
      </c>
      <c r="R191" s="3">
        <v>191</v>
      </c>
    </row>
    <row r="192" spans="1:18" x14ac:dyDescent="0.25">
      <c r="A192" s="33" t="s">
        <v>1416</v>
      </c>
      <c r="B192" s="23">
        <v>0.02</v>
      </c>
      <c r="C192" s="22" t="s">
        <v>1039</v>
      </c>
      <c r="D192" s="34" t="s">
        <v>1145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  <c r="P192" s="35"/>
      <c r="Q192" s="3" t="str">
        <f t="shared" si="2"/>
        <v/>
      </c>
      <c r="R192" s="3">
        <v>192</v>
      </c>
    </row>
    <row r="193" spans="1:18" x14ac:dyDescent="0.25">
      <c r="A193" s="33" t="s">
        <v>1417</v>
      </c>
      <c r="B193" s="23">
        <v>9.1827360000000004E-3</v>
      </c>
      <c r="C193" s="22" t="s">
        <v>1039</v>
      </c>
      <c r="D193" s="34" t="s">
        <v>1146</v>
      </c>
      <c r="E193" s="34"/>
      <c r="F193" s="34"/>
      <c r="G193" s="34"/>
      <c r="H193" s="34"/>
      <c r="I193" s="34"/>
      <c r="J193" s="34"/>
      <c r="K193" s="34"/>
      <c r="L193" s="34"/>
      <c r="M193" s="34"/>
      <c r="N193" s="34"/>
      <c r="O193" s="34"/>
      <c r="P193" s="35"/>
      <c r="Q193" s="3" t="str">
        <f t="shared" si="2"/>
        <v/>
      </c>
      <c r="R193" s="3">
        <v>193</v>
      </c>
    </row>
    <row r="194" spans="1:18" x14ac:dyDescent="0.25">
      <c r="A194" s="33" t="s">
        <v>1418</v>
      </c>
      <c r="B194" s="23">
        <v>3.6730946E-2</v>
      </c>
      <c r="C194" s="22" t="s">
        <v>1039</v>
      </c>
      <c r="D194" s="34" t="s">
        <v>1147</v>
      </c>
      <c r="E194" s="34"/>
      <c r="F194" s="34"/>
      <c r="G194" s="34"/>
      <c r="H194" s="34"/>
      <c r="I194" s="34"/>
      <c r="J194" s="34"/>
      <c r="K194" s="34"/>
      <c r="L194" s="34"/>
      <c r="M194" s="34"/>
      <c r="N194" s="34"/>
      <c r="O194" s="34"/>
      <c r="P194" s="35"/>
      <c r="Q194" s="3" t="str">
        <f t="shared" si="2"/>
        <v/>
      </c>
      <c r="R194" s="3">
        <v>194</v>
      </c>
    </row>
    <row r="195" spans="1:18" x14ac:dyDescent="0.25">
      <c r="A195" s="33" t="s">
        <v>1419</v>
      </c>
      <c r="B195" s="23">
        <v>8.2644627999999998E-2</v>
      </c>
      <c r="C195" s="22" t="s">
        <v>1039</v>
      </c>
      <c r="D195" s="34" t="s">
        <v>1148</v>
      </c>
      <c r="E195" s="34"/>
      <c r="F195" s="34"/>
      <c r="G195" s="34"/>
      <c r="H195" s="34"/>
      <c r="I195" s="34"/>
      <c r="J195" s="34"/>
      <c r="K195" s="34"/>
      <c r="L195" s="34"/>
      <c r="M195" s="34"/>
      <c r="N195" s="34"/>
      <c r="O195" s="34"/>
      <c r="P195" s="35"/>
      <c r="Q195" s="3" t="str">
        <f t="shared" si="2"/>
        <v/>
      </c>
      <c r="R195" s="3">
        <v>195</v>
      </c>
    </row>
    <row r="196" spans="1:18" x14ac:dyDescent="0.25">
      <c r="A196" s="33" t="s">
        <v>1420</v>
      </c>
      <c r="B196" s="23">
        <v>0.146923783</v>
      </c>
      <c r="C196" s="22" t="s">
        <v>1039</v>
      </c>
      <c r="D196" s="34" t="s">
        <v>1149</v>
      </c>
      <c r="E196" s="34"/>
      <c r="F196" s="34"/>
      <c r="G196" s="34"/>
      <c r="H196" s="34"/>
      <c r="I196" s="34"/>
      <c r="J196" s="34"/>
      <c r="K196" s="34"/>
      <c r="L196" s="34"/>
      <c r="M196" s="34"/>
      <c r="N196" s="34"/>
      <c r="O196" s="34"/>
      <c r="P196" s="35"/>
      <c r="Q196" s="3" t="str">
        <f t="shared" si="2"/>
        <v/>
      </c>
      <c r="R196" s="3">
        <v>196</v>
      </c>
    </row>
    <row r="197" spans="1:18" x14ac:dyDescent="0.25">
      <c r="A197" s="33" t="s">
        <v>1421</v>
      </c>
      <c r="B197" s="23">
        <v>0.229568412</v>
      </c>
      <c r="C197" s="22" t="s">
        <v>1039</v>
      </c>
      <c r="D197" s="34" t="s">
        <v>1150</v>
      </c>
      <c r="E197" s="34"/>
      <c r="F197" s="34"/>
      <c r="G197" s="34"/>
      <c r="H197" s="34"/>
      <c r="I197" s="34"/>
      <c r="J197" s="34"/>
      <c r="K197" s="34"/>
      <c r="L197" s="34"/>
      <c r="M197" s="34"/>
      <c r="N197" s="34"/>
      <c r="O197" s="34"/>
      <c r="P197" s="35"/>
      <c r="Q197" s="3" t="str">
        <f t="shared" si="2"/>
        <v/>
      </c>
      <c r="R197" s="3">
        <v>197</v>
      </c>
    </row>
    <row r="198" spans="1:18" x14ac:dyDescent="0.25">
      <c r="A198" s="33" t="s">
        <v>1422</v>
      </c>
      <c r="B198" s="23">
        <v>0.33057851300000002</v>
      </c>
      <c r="C198" s="22" t="s">
        <v>1039</v>
      </c>
      <c r="D198" s="34" t="s">
        <v>1151</v>
      </c>
      <c r="E198" s="34"/>
      <c r="F198" s="34"/>
      <c r="G198" s="34"/>
      <c r="H198" s="34"/>
      <c r="I198" s="34"/>
      <c r="J198" s="34"/>
      <c r="K198" s="34"/>
      <c r="L198" s="34"/>
      <c r="M198" s="34"/>
      <c r="N198" s="34"/>
      <c r="O198" s="34"/>
      <c r="P198" s="35"/>
      <c r="Q198" s="3" t="str">
        <f t="shared" si="2"/>
        <v/>
      </c>
      <c r="R198" s="3">
        <v>198</v>
      </c>
    </row>
    <row r="199" spans="1:18" x14ac:dyDescent="0.25">
      <c r="A199" s="33" t="s">
        <v>1423</v>
      </c>
      <c r="B199" s="23">
        <v>0.449954087</v>
      </c>
      <c r="C199" s="22" t="s">
        <v>1039</v>
      </c>
      <c r="D199" s="34" t="s">
        <v>1152</v>
      </c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  <c r="P199" s="35"/>
      <c r="Q199" s="3" t="str">
        <f t="shared" si="2"/>
        <v/>
      </c>
      <c r="R199" s="3">
        <v>199</v>
      </c>
    </row>
    <row r="200" spans="1:18" x14ac:dyDescent="0.25">
      <c r="A200" s="33" t="s">
        <v>1424</v>
      </c>
      <c r="B200" s="23">
        <v>0.58769513399999995</v>
      </c>
      <c r="C200" s="22" t="s">
        <v>1039</v>
      </c>
      <c r="D200" s="34" t="s">
        <v>1153</v>
      </c>
      <c r="E200" s="34"/>
      <c r="F200" s="34"/>
      <c r="G200" s="34"/>
      <c r="H200" s="34"/>
      <c r="I200" s="34"/>
      <c r="J200" s="34"/>
      <c r="K200" s="34"/>
      <c r="L200" s="34"/>
      <c r="M200" s="34"/>
      <c r="N200" s="34"/>
      <c r="O200" s="34"/>
      <c r="P200" s="35"/>
      <c r="Q200" s="3" t="str">
        <f t="shared" si="2"/>
        <v/>
      </c>
      <c r="R200" s="3">
        <v>200</v>
      </c>
    </row>
    <row r="201" spans="1:18" x14ac:dyDescent="0.25">
      <c r="A201" s="33" t="s">
        <v>1425</v>
      </c>
      <c r="B201" s="23">
        <v>0.74380165399999998</v>
      </c>
      <c r="C201" s="22" t="s">
        <v>1039</v>
      </c>
      <c r="D201" s="34" t="s">
        <v>1154</v>
      </c>
      <c r="E201" s="34"/>
      <c r="F201" s="34"/>
      <c r="G201" s="34"/>
      <c r="H201" s="34"/>
      <c r="I201" s="34"/>
      <c r="J201" s="34"/>
      <c r="K201" s="34"/>
      <c r="L201" s="34"/>
      <c r="M201" s="34"/>
      <c r="N201" s="34"/>
      <c r="O201" s="34"/>
      <c r="P201" s="35"/>
      <c r="Q201" s="3" t="str">
        <f t="shared" ref="Q201:Q246" si="3">IF($P$7=A201,1,"")</f>
        <v/>
      </c>
      <c r="R201" s="3">
        <v>201</v>
      </c>
    </row>
    <row r="202" spans="1:18" x14ac:dyDescent="0.25">
      <c r="A202" s="33" t="s">
        <v>1426</v>
      </c>
      <c r="B202" s="23">
        <v>0.82874196600000005</v>
      </c>
      <c r="C202" s="22" t="s">
        <v>1039</v>
      </c>
      <c r="D202" s="34" t="s">
        <v>1155</v>
      </c>
      <c r="E202" s="34"/>
      <c r="F202" s="34"/>
      <c r="G202" s="34"/>
      <c r="H202" s="34"/>
      <c r="I202" s="34"/>
      <c r="J202" s="34"/>
      <c r="K202" s="34"/>
      <c r="L202" s="34"/>
      <c r="M202" s="34"/>
      <c r="N202" s="34"/>
      <c r="O202" s="34"/>
      <c r="P202" s="35"/>
      <c r="Q202" s="3" t="str">
        <f t="shared" si="3"/>
        <v/>
      </c>
      <c r="R202" s="3">
        <v>202</v>
      </c>
    </row>
    <row r="203" spans="1:18" x14ac:dyDescent="0.25">
      <c r="A203" s="33" t="s">
        <v>1427</v>
      </c>
      <c r="B203" s="23">
        <v>0.90000000099999999</v>
      </c>
      <c r="C203" s="22" t="s">
        <v>1039</v>
      </c>
      <c r="D203" s="34" t="s">
        <v>1227</v>
      </c>
      <c r="E203" s="34"/>
      <c r="F203" s="34"/>
      <c r="G203" s="34"/>
      <c r="H203" s="34"/>
      <c r="I203" s="34"/>
      <c r="J203" s="34"/>
      <c r="K203" s="34"/>
      <c r="L203" s="34"/>
      <c r="M203" s="34"/>
      <c r="N203" s="34"/>
      <c r="O203" s="34"/>
      <c r="P203" s="35"/>
      <c r="Q203" s="3" t="str">
        <f t="shared" si="3"/>
        <v/>
      </c>
      <c r="R203" s="3">
        <v>203</v>
      </c>
    </row>
    <row r="204" spans="1:18" x14ac:dyDescent="0.25">
      <c r="A204" s="33" t="s">
        <v>1428</v>
      </c>
      <c r="B204" s="23">
        <v>1</v>
      </c>
      <c r="C204" s="22"/>
      <c r="D204" s="34" t="s">
        <v>1189</v>
      </c>
      <c r="E204" s="34"/>
      <c r="F204" s="34"/>
      <c r="G204" s="34"/>
      <c r="H204" s="34"/>
      <c r="I204" s="34"/>
      <c r="J204" s="34"/>
      <c r="K204" s="34"/>
      <c r="L204" s="34"/>
      <c r="M204" s="34"/>
      <c r="N204" s="34"/>
      <c r="O204" s="34"/>
      <c r="P204" s="35"/>
      <c r="Q204" s="3" t="str">
        <f t="shared" si="3"/>
        <v/>
      </c>
      <c r="R204" s="3">
        <v>204</v>
      </c>
    </row>
    <row r="205" spans="1:18" x14ac:dyDescent="0.25">
      <c r="A205" s="33" t="s">
        <v>1429</v>
      </c>
      <c r="B205" s="23">
        <v>45</v>
      </c>
      <c r="C205" s="22"/>
      <c r="D205" s="34" t="s">
        <v>1194</v>
      </c>
      <c r="E205" s="34"/>
      <c r="F205" s="34"/>
      <c r="G205" s="34"/>
      <c r="H205" s="34"/>
      <c r="I205" s="34"/>
      <c r="J205" s="34"/>
      <c r="K205" s="34"/>
      <c r="L205" s="34"/>
      <c r="M205" s="34"/>
      <c r="N205" s="34"/>
      <c r="O205" s="34"/>
      <c r="P205" s="35"/>
      <c r="Q205" s="3" t="str">
        <f t="shared" si="3"/>
        <v/>
      </c>
      <c r="R205" s="3">
        <v>205</v>
      </c>
    </row>
    <row r="206" spans="1:18" x14ac:dyDescent="0.25">
      <c r="A206" s="33" t="s">
        <v>1430</v>
      </c>
      <c r="B206" s="23">
        <v>200</v>
      </c>
      <c r="C206" s="22"/>
      <c r="D206" s="34" t="s">
        <v>1156</v>
      </c>
      <c r="E206" s="34"/>
      <c r="F206" s="34"/>
      <c r="G206" s="34"/>
      <c r="H206" s="34"/>
      <c r="I206" s="34"/>
      <c r="J206" s="34"/>
      <c r="K206" s="34"/>
      <c r="L206" s="34"/>
      <c r="M206" s="34"/>
      <c r="N206" s="34"/>
      <c r="O206" s="34"/>
      <c r="P206" s="35"/>
      <c r="Q206" s="3" t="str">
        <f t="shared" si="3"/>
        <v/>
      </c>
      <c r="R206" s="3">
        <v>206</v>
      </c>
    </row>
    <row r="207" spans="1:18" x14ac:dyDescent="0.25">
      <c r="A207" s="33" t="s">
        <v>1431</v>
      </c>
      <c r="B207" s="23">
        <v>20</v>
      </c>
      <c r="C207" s="22"/>
      <c r="D207" s="34" t="s">
        <v>1157</v>
      </c>
      <c r="E207" s="34"/>
      <c r="F207" s="34"/>
      <c r="G207" s="34"/>
      <c r="H207" s="34"/>
      <c r="I207" s="34"/>
      <c r="J207" s="34"/>
      <c r="K207" s="34"/>
      <c r="L207" s="34"/>
      <c r="M207" s="34"/>
      <c r="N207" s="34"/>
      <c r="O207" s="34"/>
      <c r="P207" s="35"/>
      <c r="Q207" s="3" t="str">
        <f t="shared" si="3"/>
        <v/>
      </c>
      <c r="R207" s="3">
        <v>207</v>
      </c>
    </row>
    <row r="208" spans="1:18" x14ac:dyDescent="0.25">
      <c r="A208" s="33" t="s">
        <v>1357</v>
      </c>
      <c r="B208" s="23">
        <v>40</v>
      </c>
      <c r="C208" s="22"/>
      <c r="D208" s="34" t="s">
        <v>1195</v>
      </c>
      <c r="E208" s="34"/>
      <c r="F208" s="34"/>
      <c r="G208" s="34"/>
      <c r="H208" s="34"/>
      <c r="I208" s="34"/>
      <c r="J208" s="34"/>
      <c r="K208" s="34"/>
      <c r="L208" s="34"/>
      <c r="M208" s="34"/>
      <c r="N208" s="34"/>
      <c r="O208" s="34"/>
      <c r="P208" s="35"/>
      <c r="Q208" s="3" t="str">
        <f t="shared" si="3"/>
        <v/>
      </c>
      <c r="R208" s="3">
        <v>208</v>
      </c>
    </row>
    <row r="209" spans="1:18" x14ac:dyDescent="0.25">
      <c r="A209" s="33" t="s">
        <v>1432</v>
      </c>
      <c r="B209" s="23" t="s">
        <v>1158</v>
      </c>
      <c r="C209" s="22"/>
      <c r="D209" s="34" t="s">
        <v>1159</v>
      </c>
      <c r="E209" s="34"/>
      <c r="F209" s="34"/>
      <c r="G209" s="34"/>
      <c r="H209" s="34"/>
      <c r="I209" s="34"/>
      <c r="J209" s="34"/>
      <c r="K209" s="34"/>
      <c r="L209" s="34"/>
      <c r="M209" s="34"/>
      <c r="N209" s="34"/>
      <c r="O209" s="34"/>
      <c r="P209" s="35"/>
      <c r="Q209" s="3" t="str">
        <f t="shared" si="3"/>
        <v/>
      </c>
      <c r="R209" s="3">
        <v>209</v>
      </c>
    </row>
    <row r="210" spans="1:18" x14ac:dyDescent="0.25">
      <c r="A210" s="33" t="s">
        <v>1433</v>
      </c>
      <c r="B210" s="23">
        <v>1</v>
      </c>
      <c r="C210" s="22" t="s">
        <v>1039</v>
      </c>
      <c r="D210" s="34" t="s">
        <v>1228</v>
      </c>
      <c r="E210" s="34"/>
      <c r="F210" s="34"/>
      <c r="G210" s="34"/>
      <c r="H210" s="34"/>
      <c r="I210" s="34"/>
      <c r="J210" s="34"/>
      <c r="K210" s="34"/>
      <c r="L210" s="34"/>
      <c r="M210" s="34"/>
      <c r="N210" s="34"/>
      <c r="O210" s="34"/>
      <c r="P210" s="35"/>
      <c r="Q210" s="3" t="str">
        <f t="shared" si="3"/>
        <v/>
      </c>
      <c r="R210" s="3">
        <v>210</v>
      </c>
    </row>
    <row r="211" spans="1:18" x14ac:dyDescent="0.25">
      <c r="A211" s="33" t="s">
        <v>1434</v>
      </c>
      <c r="B211" s="23">
        <v>2</v>
      </c>
      <c r="C211" s="22" t="s">
        <v>974</v>
      </c>
      <c r="D211" s="34" t="s">
        <v>1160</v>
      </c>
      <c r="E211" s="34"/>
      <c r="F211" s="34"/>
      <c r="G211" s="34"/>
      <c r="H211" s="34"/>
      <c r="I211" s="34"/>
      <c r="J211" s="34"/>
      <c r="K211" s="34"/>
      <c r="L211" s="34"/>
      <c r="M211" s="34"/>
      <c r="N211" s="34"/>
      <c r="O211" s="34"/>
      <c r="P211" s="35"/>
      <c r="Q211" s="3" t="str">
        <f t="shared" si="3"/>
        <v/>
      </c>
      <c r="R211" s="3">
        <v>211</v>
      </c>
    </row>
    <row r="212" spans="1:18" x14ac:dyDescent="0.25">
      <c r="A212" s="33" t="s">
        <v>1357</v>
      </c>
      <c r="B212" s="23">
        <v>0</v>
      </c>
      <c r="C212" s="22"/>
      <c r="D212" s="34" t="s">
        <v>1229</v>
      </c>
      <c r="E212" s="34"/>
      <c r="F212" s="34"/>
      <c r="G212" s="34"/>
      <c r="H212" s="34"/>
      <c r="I212" s="34"/>
      <c r="J212" s="34"/>
      <c r="K212" s="34"/>
      <c r="L212" s="34"/>
      <c r="M212" s="34"/>
      <c r="N212" s="34"/>
      <c r="O212" s="34"/>
      <c r="P212" s="35"/>
      <c r="Q212" s="3" t="str">
        <f t="shared" si="3"/>
        <v/>
      </c>
      <c r="R212" s="3">
        <v>212</v>
      </c>
    </row>
    <row r="213" spans="1:18" x14ac:dyDescent="0.25">
      <c r="A213" s="33" t="s">
        <v>1435</v>
      </c>
      <c r="B213" s="23">
        <v>1</v>
      </c>
      <c r="C213" s="22"/>
      <c r="D213" s="34" t="s">
        <v>1161</v>
      </c>
      <c r="E213" s="34"/>
      <c r="F213" s="34"/>
      <c r="G213" s="34"/>
      <c r="H213" s="34"/>
      <c r="I213" s="34"/>
      <c r="J213" s="34"/>
      <c r="K213" s="34"/>
      <c r="L213" s="34"/>
      <c r="M213" s="34"/>
      <c r="N213" s="34"/>
      <c r="O213" s="34"/>
      <c r="P213" s="35"/>
      <c r="Q213" s="3" t="str">
        <f t="shared" si="3"/>
        <v/>
      </c>
      <c r="R213" s="3">
        <v>213</v>
      </c>
    </row>
    <row r="214" spans="1:18" x14ac:dyDescent="0.25">
      <c r="A214" s="33" t="s">
        <v>1436</v>
      </c>
      <c r="B214" s="23">
        <v>1.02</v>
      </c>
      <c r="C214" s="22" t="s">
        <v>1162</v>
      </c>
      <c r="D214" s="34" t="s">
        <v>1163</v>
      </c>
      <c r="E214" s="34"/>
      <c r="F214" s="34"/>
      <c r="G214" s="34"/>
      <c r="H214" s="34"/>
      <c r="I214" s="34"/>
      <c r="J214" s="34"/>
      <c r="K214" s="34"/>
      <c r="L214" s="34"/>
      <c r="M214" s="34"/>
      <c r="N214" s="34"/>
      <c r="O214" s="34"/>
      <c r="P214" s="35"/>
      <c r="Q214" s="3" t="str">
        <f t="shared" si="3"/>
        <v/>
      </c>
      <c r="R214" s="3">
        <v>214</v>
      </c>
    </row>
    <row r="215" spans="1:18" x14ac:dyDescent="0.25">
      <c r="A215" s="33" t="s">
        <v>1437</v>
      </c>
      <c r="B215" s="23">
        <v>1</v>
      </c>
      <c r="C215" s="22"/>
      <c r="D215" s="34" t="s">
        <v>1164</v>
      </c>
      <c r="E215" s="34"/>
      <c r="F215" s="34"/>
      <c r="G215" s="34"/>
      <c r="H215" s="34"/>
      <c r="I215" s="34"/>
      <c r="J215" s="34"/>
      <c r="K215" s="34"/>
      <c r="L215" s="34"/>
      <c r="M215" s="34"/>
      <c r="N215" s="34"/>
      <c r="O215" s="34"/>
      <c r="P215" s="35"/>
      <c r="Q215" s="3" t="str">
        <f t="shared" si="3"/>
        <v/>
      </c>
      <c r="R215" s="3">
        <v>215</v>
      </c>
    </row>
    <row r="216" spans="1:18" x14ac:dyDescent="0.25">
      <c r="A216" s="33" t="s">
        <v>1438</v>
      </c>
      <c r="B216" s="23">
        <v>825</v>
      </c>
      <c r="C216" s="22" t="s">
        <v>983</v>
      </c>
      <c r="D216" s="34" t="s">
        <v>1165</v>
      </c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  <c r="P216" s="35"/>
      <c r="Q216" s="3" t="str">
        <f t="shared" si="3"/>
        <v/>
      </c>
      <c r="R216" s="3">
        <v>216</v>
      </c>
    </row>
    <row r="217" spans="1:18" x14ac:dyDescent="0.25">
      <c r="A217" s="33" t="s">
        <v>1439</v>
      </c>
      <c r="B217" s="23">
        <v>0.52</v>
      </c>
      <c r="C217" s="22" t="s">
        <v>983</v>
      </c>
      <c r="D217" s="34" t="s">
        <v>1166</v>
      </c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  <c r="P217" s="35"/>
      <c r="Q217" s="3" t="str">
        <f t="shared" si="3"/>
        <v/>
      </c>
      <c r="R217" s="3">
        <v>217</v>
      </c>
    </row>
    <row r="218" spans="1:18" x14ac:dyDescent="0.25">
      <c r="A218" s="33" t="s">
        <v>1440</v>
      </c>
      <c r="B218" s="23">
        <v>0.5</v>
      </c>
      <c r="C218" s="22" t="s">
        <v>983</v>
      </c>
      <c r="D218" s="34" t="s">
        <v>1167</v>
      </c>
      <c r="E218" s="34"/>
      <c r="F218" s="34"/>
      <c r="G218" s="34"/>
      <c r="H218" s="34"/>
      <c r="I218" s="34"/>
      <c r="J218" s="34"/>
      <c r="K218" s="34"/>
      <c r="L218" s="34"/>
      <c r="M218" s="34"/>
      <c r="N218" s="34"/>
      <c r="O218" s="34"/>
      <c r="P218" s="35"/>
      <c r="Q218" s="3" t="str">
        <f t="shared" si="3"/>
        <v/>
      </c>
      <c r="R218" s="3">
        <v>218</v>
      </c>
    </row>
    <row r="219" spans="1:18" x14ac:dyDescent="0.25">
      <c r="A219" s="33" t="s">
        <v>1441</v>
      </c>
      <c r="B219" s="23">
        <v>0.37</v>
      </c>
      <c r="C219" s="22" t="s">
        <v>983</v>
      </c>
      <c r="D219" s="34" t="s">
        <v>1168</v>
      </c>
      <c r="E219" s="34"/>
      <c r="F219" s="34"/>
      <c r="G219" s="34"/>
      <c r="H219" s="34"/>
      <c r="I219" s="34"/>
      <c r="J219" s="34"/>
      <c r="K219" s="34"/>
      <c r="L219" s="34"/>
      <c r="M219" s="34"/>
      <c r="N219" s="34"/>
      <c r="O219" s="34"/>
      <c r="P219" s="35"/>
      <c r="Q219" s="3" t="str">
        <f t="shared" si="3"/>
        <v/>
      </c>
      <c r="R219" s="3">
        <v>219</v>
      </c>
    </row>
    <row r="220" spans="1:18" x14ac:dyDescent="0.25">
      <c r="A220" s="33" t="s">
        <v>1442</v>
      </c>
      <c r="B220" s="23">
        <v>0</v>
      </c>
      <c r="C220" s="22" t="s">
        <v>983</v>
      </c>
      <c r="D220" s="34" t="s">
        <v>1169</v>
      </c>
      <c r="E220" s="34"/>
      <c r="F220" s="34"/>
      <c r="G220" s="34"/>
      <c r="H220" s="34"/>
      <c r="I220" s="34"/>
      <c r="J220" s="34"/>
      <c r="K220" s="34"/>
      <c r="L220" s="34"/>
      <c r="M220" s="34"/>
      <c r="N220" s="34"/>
      <c r="O220" s="34"/>
      <c r="P220" s="35"/>
      <c r="Q220" s="3" t="str">
        <f t="shared" si="3"/>
        <v/>
      </c>
      <c r="R220" s="3">
        <v>220</v>
      </c>
    </row>
    <row r="221" spans="1:18" x14ac:dyDescent="0.25">
      <c r="A221" s="33" t="s">
        <v>1443</v>
      </c>
      <c r="B221" s="23">
        <v>1</v>
      </c>
      <c r="C221" s="22" t="s">
        <v>983</v>
      </c>
      <c r="D221" s="34" t="s">
        <v>1170</v>
      </c>
      <c r="E221" s="34"/>
      <c r="F221" s="34"/>
      <c r="G221" s="34"/>
      <c r="H221" s="34"/>
      <c r="I221" s="34"/>
      <c r="J221" s="34"/>
      <c r="K221" s="34"/>
      <c r="L221" s="34"/>
      <c r="M221" s="34"/>
      <c r="N221" s="34"/>
      <c r="O221" s="34"/>
      <c r="P221" s="35"/>
      <c r="Q221" s="3" t="str">
        <f t="shared" si="3"/>
        <v/>
      </c>
      <c r="R221" s="3">
        <v>221</v>
      </c>
    </row>
    <row r="222" spans="1:18" x14ac:dyDescent="0.25">
      <c r="A222" s="33" t="s">
        <v>1444</v>
      </c>
      <c r="B222" s="23">
        <v>1.2</v>
      </c>
      <c r="C222" s="22" t="s">
        <v>983</v>
      </c>
      <c r="D222" s="34" t="s">
        <v>1171</v>
      </c>
      <c r="E222" s="34"/>
      <c r="F222" s="34"/>
      <c r="G222" s="34"/>
      <c r="H222" s="34"/>
      <c r="I222" s="34"/>
      <c r="J222" s="34"/>
      <c r="K222" s="34"/>
      <c r="L222" s="34"/>
      <c r="M222" s="34"/>
      <c r="N222" s="34"/>
      <c r="O222" s="34"/>
      <c r="P222" s="35"/>
      <c r="Q222" s="3" t="str">
        <f t="shared" si="3"/>
        <v/>
      </c>
      <c r="R222" s="3">
        <v>222</v>
      </c>
    </row>
    <row r="223" spans="1:18" x14ac:dyDescent="0.25">
      <c r="A223" s="33" t="s">
        <v>1445</v>
      </c>
      <c r="B223" s="23">
        <v>1</v>
      </c>
      <c r="C223" s="22" t="s">
        <v>983</v>
      </c>
      <c r="D223" s="34" t="s">
        <v>1172</v>
      </c>
      <c r="E223" s="34"/>
      <c r="F223" s="34"/>
      <c r="G223" s="34"/>
      <c r="H223" s="34"/>
      <c r="I223" s="34"/>
      <c r="J223" s="34"/>
      <c r="K223" s="34"/>
      <c r="L223" s="34"/>
      <c r="M223" s="34"/>
      <c r="N223" s="34"/>
      <c r="O223" s="34"/>
      <c r="P223" s="35"/>
      <c r="Q223" s="3" t="str">
        <f t="shared" si="3"/>
        <v/>
      </c>
      <c r="R223" s="3">
        <v>223</v>
      </c>
    </row>
    <row r="224" spans="1:18" x14ac:dyDescent="0.25">
      <c r="A224" s="33" t="s">
        <v>1446</v>
      </c>
      <c r="B224" s="23">
        <v>7</v>
      </c>
      <c r="C224" s="22" t="s">
        <v>1192</v>
      </c>
      <c r="D224" s="34" t="s">
        <v>1173</v>
      </c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  <c r="P224" s="35"/>
      <c r="Q224" s="3" t="str">
        <f t="shared" si="3"/>
        <v/>
      </c>
      <c r="R224" s="3">
        <v>224</v>
      </c>
    </row>
    <row r="225" spans="1:18" x14ac:dyDescent="0.25">
      <c r="A225" s="33" t="s">
        <v>1447</v>
      </c>
      <c r="B225" s="23">
        <v>0</v>
      </c>
      <c r="C225" s="22" t="s">
        <v>1192</v>
      </c>
      <c r="D225" s="34" t="s">
        <v>1174</v>
      </c>
      <c r="E225" s="34"/>
      <c r="F225" s="34"/>
      <c r="G225" s="34"/>
      <c r="H225" s="34"/>
      <c r="I225" s="34"/>
      <c r="J225" s="34"/>
      <c r="K225" s="34"/>
      <c r="L225" s="34"/>
      <c r="M225" s="34"/>
      <c r="N225" s="34"/>
      <c r="O225" s="34"/>
      <c r="P225" s="35"/>
      <c r="Q225" s="3" t="str">
        <f t="shared" si="3"/>
        <v/>
      </c>
      <c r="R225" s="3">
        <v>225</v>
      </c>
    </row>
    <row r="226" spans="1:18" x14ac:dyDescent="0.25">
      <c r="A226" s="33" t="s">
        <v>1448</v>
      </c>
      <c r="B226" s="23">
        <v>67.635000000000005</v>
      </c>
      <c r="C226" s="22"/>
      <c r="D226" s="34" t="s">
        <v>1190</v>
      </c>
      <c r="E226" s="34"/>
      <c r="F226" s="34"/>
      <c r="G226" s="34"/>
      <c r="H226" s="34"/>
      <c r="I226" s="34"/>
      <c r="J226" s="34"/>
      <c r="K226" s="34"/>
      <c r="L226" s="34"/>
      <c r="M226" s="34"/>
      <c r="N226" s="34"/>
      <c r="O226" s="34"/>
      <c r="P226" s="35"/>
      <c r="Q226" s="3" t="str">
        <f t="shared" si="3"/>
        <v/>
      </c>
      <c r="R226" s="3">
        <v>226</v>
      </c>
    </row>
    <row r="227" spans="1:18" x14ac:dyDescent="0.25">
      <c r="A227" s="33" t="s">
        <v>1449</v>
      </c>
      <c r="B227" s="23">
        <v>85</v>
      </c>
      <c r="C227" s="22"/>
      <c r="D227" s="34" t="s">
        <v>1191</v>
      </c>
      <c r="E227" s="34"/>
      <c r="F227" s="34"/>
      <c r="G227" s="34"/>
      <c r="H227" s="34"/>
      <c r="I227" s="34"/>
      <c r="J227" s="34"/>
      <c r="K227" s="34"/>
      <c r="L227" s="34"/>
      <c r="M227" s="34"/>
      <c r="N227" s="34"/>
      <c r="O227" s="34"/>
      <c r="P227" s="35"/>
      <c r="Q227" s="3" t="str">
        <f t="shared" si="3"/>
        <v/>
      </c>
      <c r="R227" s="3">
        <v>227</v>
      </c>
    </row>
    <row r="228" spans="1:18" x14ac:dyDescent="0.25">
      <c r="A228" s="33" t="s">
        <v>1357</v>
      </c>
      <c r="B228" s="23">
        <v>1</v>
      </c>
      <c r="C228" s="22"/>
      <c r="D228" s="34" t="s">
        <v>1230</v>
      </c>
      <c r="E228" s="34"/>
      <c r="F228" s="34"/>
      <c r="G228" s="34"/>
      <c r="H228" s="34"/>
      <c r="I228" s="34"/>
      <c r="J228" s="34"/>
      <c r="K228" s="34"/>
      <c r="L228" s="34"/>
      <c r="M228" s="34"/>
      <c r="N228" s="34"/>
      <c r="O228" s="34"/>
      <c r="P228" s="35"/>
      <c r="Q228" s="3" t="str">
        <f t="shared" si="3"/>
        <v/>
      </c>
      <c r="R228" s="3">
        <v>228</v>
      </c>
    </row>
    <row r="229" spans="1:18" x14ac:dyDescent="0.25">
      <c r="A229" s="33" t="s">
        <v>1357</v>
      </c>
      <c r="B229" s="23">
        <v>0.42</v>
      </c>
      <c r="C229" s="22"/>
      <c r="D229" s="34" t="s">
        <v>1231</v>
      </c>
      <c r="E229" s="34"/>
      <c r="F229" s="34"/>
      <c r="G229" s="34"/>
      <c r="H229" s="34"/>
      <c r="I229" s="34"/>
      <c r="J229" s="34"/>
      <c r="K229" s="34"/>
      <c r="L229" s="34"/>
      <c r="M229" s="34"/>
      <c r="N229" s="34"/>
      <c r="O229" s="34"/>
      <c r="P229" s="35"/>
      <c r="Q229" s="3" t="str">
        <f t="shared" si="3"/>
        <v/>
      </c>
      <c r="R229" s="3">
        <v>229</v>
      </c>
    </row>
    <row r="230" spans="1:18" x14ac:dyDescent="0.25">
      <c r="A230" s="33" t="s">
        <v>1357</v>
      </c>
      <c r="B230" s="23">
        <v>0.35</v>
      </c>
      <c r="C230" s="22"/>
      <c r="D230" s="34" t="s">
        <v>1232</v>
      </c>
      <c r="E230" s="34"/>
      <c r="F230" s="34"/>
      <c r="G230" s="34"/>
      <c r="H230" s="34"/>
      <c r="I230" s="34"/>
      <c r="J230" s="34"/>
      <c r="K230" s="34"/>
      <c r="L230" s="34"/>
      <c r="M230" s="34"/>
      <c r="N230" s="34"/>
      <c r="O230" s="34"/>
      <c r="P230" s="35"/>
      <c r="Q230" s="3" t="str">
        <f t="shared" si="3"/>
        <v/>
      </c>
      <c r="R230" s="3">
        <v>230</v>
      </c>
    </row>
    <row r="231" spans="1:18" x14ac:dyDescent="0.25">
      <c r="A231" s="33" t="s">
        <v>1357</v>
      </c>
      <c r="B231" s="23">
        <v>0.3</v>
      </c>
      <c r="C231" s="22"/>
      <c r="D231" s="34" t="s">
        <v>1233</v>
      </c>
      <c r="E231" s="34"/>
      <c r="F231" s="34"/>
      <c r="G231" s="34"/>
      <c r="H231" s="34"/>
      <c r="I231" s="34"/>
      <c r="J231" s="34"/>
      <c r="K231" s="34"/>
      <c r="L231" s="34"/>
      <c r="M231" s="34"/>
      <c r="N231" s="34"/>
      <c r="O231" s="34"/>
      <c r="P231" s="35"/>
      <c r="Q231" s="3" t="str">
        <f t="shared" si="3"/>
        <v/>
      </c>
      <c r="R231" s="3">
        <v>231</v>
      </c>
    </row>
    <row r="232" spans="1:18" x14ac:dyDescent="0.25">
      <c r="A232" s="33" t="s">
        <v>1357</v>
      </c>
      <c r="B232" s="23">
        <v>0.5</v>
      </c>
      <c r="C232" s="22"/>
      <c r="D232" s="34" t="s">
        <v>1234</v>
      </c>
      <c r="E232" s="34"/>
      <c r="F232" s="34"/>
      <c r="G232" s="34"/>
      <c r="H232" s="34"/>
      <c r="I232" s="34"/>
      <c r="J232" s="34"/>
      <c r="K232" s="34"/>
      <c r="L232" s="34"/>
      <c r="M232" s="34"/>
      <c r="N232" s="34"/>
      <c r="O232" s="34"/>
      <c r="P232" s="35"/>
      <c r="Q232" s="3" t="str">
        <f t="shared" si="3"/>
        <v/>
      </c>
      <c r="R232" s="3">
        <v>232</v>
      </c>
    </row>
    <row r="233" spans="1:18" x14ac:dyDescent="0.25">
      <c r="A233" s="33" t="s">
        <v>1450</v>
      </c>
      <c r="B233" s="23">
        <v>1.0338000000000001</v>
      </c>
      <c r="C233" s="22"/>
      <c r="D233" s="34" t="s">
        <v>1175</v>
      </c>
      <c r="E233" s="34"/>
      <c r="F233" s="34"/>
      <c r="G233" s="34"/>
      <c r="H233" s="34"/>
      <c r="I233" s="34"/>
      <c r="J233" s="34"/>
      <c r="K233" s="34"/>
      <c r="L233" s="34"/>
      <c r="M233" s="34"/>
      <c r="N233" s="34"/>
      <c r="O233" s="34"/>
      <c r="P233" s="35"/>
      <c r="Q233" s="3" t="str">
        <f t="shared" si="3"/>
        <v/>
      </c>
      <c r="R233" s="3">
        <v>233</v>
      </c>
    </row>
    <row r="234" spans="1:18" x14ac:dyDescent="0.25">
      <c r="A234" s="33" t="s">
        <v>1451</v>
      </c>
      <c r="B234" s="23">
        <v>0.38500000000000001</v>
      </c>
      <c r="C234" s="22" t="s">
        <v>1176</v>
      </c>
      <c r="D234" s="34" t="s">
        <v>1177</v>
      </c>
      <c r="E234" s="34"/>
      <c r="F234" s="34"/>
      <c r="G234" s="34"/>
      <c r="H234" s="34"/>
      <c r="I234" s="34"/>
      <c r="J234" s="34"/>
      <c r="K234" s="34"/>
      <c r="L234" s="34"/>
      <c r="M234" s="34"/>
      <c r="N234" s="34"/>
      <c r="O234" s="34"/>
      <c r="P234" s="35"/>
      <c r="Q234" s="3" t="str">
        <f t="shared" si="3"/>
        <v/>
      </c>
      <c r="R234" s="3">
        <v>234</v>
      </c>
    </row>
    <row r="235" spans="1:18" x14ac:dyDescent="0.25">
      <c r="A235" s="33" t="s">
        <v>1357</v>
      </c>
      <c r="B235" s="23">
        <v>0.46600000000000003</v>
      </c>
      <c r="C235" s="22" t="s">
        <v>1176</v>
      </c>
      <c r="D235" s="34" t="s">
        <v>1235</v>
      </c>
      <c r="E235" s="34"/>
      <c r="F235" s="34"/>
      <c r="G235" s="34"/>
      <c r="H235" s="34"/>
      <c r="I235" s="34"/>
      <c r="J235" s="34"/>
      <c r="K235" s="34"/>
      <c r="L235" s="34"/>
      <c r="M235" s="34"/>
      <c r="N235" s="34"/>
      <c r="O235" s="34"/>
      <c r="P235" s="35"/>
      <c r="Q235" s="3" t="str">
        <f t="shared" si="3"/>
        <v/>
      </c>
      <c r="R235" s="3">
        <v>235</v>
      </c>
    </row>
    <row r="236" spans="1:18" x14ac:dyDescent="0.25">
      <c r="A236" s="33" t="s">
        <v>1452</v>
      </c>
      <c r="B236" s="23">
        <v>0.39400000000000002</v>
      </c>
      <c r="C236" s="22" t="s">
        <v>1176</v>
      </c>
      <c r="D236" s="34" t="s">
        <v>1178</v>
      </c>
      <c r="E236" s="34"/>
      <c r="F236" s="34"/>
      <c r="G236" s="34"/>
      <c r="H236" s="34"/>
      <c r="I236" s="34"/>
      <c r="J236" s="34"/>
      <c r="K236" s="34"/>
      <c r="L236" s="34"/>
      <c r="M236" s="34"/>
      <c r="N236" s="34"/>
      <c r="O236" s="34"/>
      <c r="P236" s="35"/>
      <c r="Q236" s="3" t="str">
        <f t="shared" si="3"/>
        <v/>
      </c>
      <c r="R236" s="3">
        <v>236</v>
      </c>
    </row>
    <row r="237" spans="1:18" x14ac:dyDescent="0.25">
      <c r="A237" s="33" t="s">
        <v>1453</v>
      </c>
      <c r="B237" s="23">
        <v>0.39500000000000002</v>
      </c>
      <c r="C237" s="22" t="s">
        <v>1176</v>
      </c>
      <c r="D237" s="34" t="s">
        <v>1179</v>
      </c>
      <c r="E237" s="34"/>
      <c r="F237" s="34"/>
      <c r="G237" s="34"/>
      <c r="H237" s="34"/>
      <c r="I237" s="34"/>
      <c r="J237" s="34"/>
      <c r="K237" s="34"/>
      <c r="L237" s="34"/>
      <c r="M237" s="34"/>
      <c r="N237" s="34"/>
      <c r="O237" s="34"/>
      <c r="P237" s="35"/>
      <c r="Q237" s="3" t="str">
        <f t="shared" si="3"/>
        <v/>
      </c>
      <c r="R237" s="3">
        <v>237</v>
      </c>
    </row>
    <row r="238" spans="1:18" x14ac:dyDescent="0.25">
      <c r="A238" s="33" t="s">
        <v>1454</v>
      </c>
      <c r="B238" s="23">
        <v>0.4</v>
      </c>
      <c r="C238" s="22" t="s">
        <v>1176</v>
      </c>
      <c r="D238" s="34" t="s">
        <v>1180</v>
      </c>
      <c r="E238" s="34"/>
      <c r="F238" s="34"/>
      <c r="G238" s="34"/>
      <c r="H238" s="34"/>
      <c r="I238" s="34"/>
      <c r="J238" s="34"/>
      <c r="K238" s="34"/>
      <c r="L238" s="34"/>
      <c r="M238" s="34"/>
      <c r="N238" s="34"/>
      <c r="O238" s="34"/>
      <c r="P238" s="35"/>
      <c r="Q238" s="3" t="str">
        <f t="shared" si="3"/>
        <v/>
      </c>
      <c r="R238" s="3">
        <v>238</v>
      </c>
    </row>
    <row r="239" spans="1:18" x14ac:dyDescent="0.25">
      <c r="A239" s="33" t="s">
        <v>1455</v>
      </c>
      <c r="B239" s="23">
        <v>0.41</v>
      </c>
      <c r="C239" s="22" t="s">
        <v>1176</v>
      </c>
      <c r="D239" s="34" t="s">
        <v>1181</v>
      </c>
      <c r="E239" s="34"/>
      <c r="F239" s="34"/>
      <c r="G239" s="34"/>
      <c r="H239" s="34"/>
      <c r="I239" s="34"/>
      <c r="J239" s="34"/>
      <c r="K239" s="34"/>
      <c r="L239" s="34"/>
      <c r="M239" s="34"/>
      <c r="N239" s="34"/>
      <c r="O239" s="34"/>
      <c r="P239" s="35"/>
      <c r="Q239" s="3" t="str">
        <f t="shared" si="3"/>
        <v/>
      </c>
      <c r="R239" s="3">
        <v>239</v>
      </c>
    </row>
    <row r="240" spans="1:18" x14ac:dyDescent="0.25">
      <c r="A240" s="33" t="s">
        <v>1456</v>
      </c>
      <c r="B240" s="23">
        <v>8933</v>
      </c>
      <c r="C240" s="22" t="s">
        <v>1182</v>
      </c>
      <c r="D240" s="34" t="s">
        <v>1183</v>
      </c>
      <c r="E240" s="34"/>
      <c r="F240" s="34"/>
      <c r="G240" s="34"/>
      <c r="H240" s="34"/>
      <c r="I240" s="34"/>
      <c r="J240" s="34"/>
      <c r="K240" s="34"/>
      <c r="L240" s="34"/>
      <c r="M240" s="34"/>
      <c r="N240" s="34"/>
      <c r="O240" s="34"/>
      <c r="P240" s="35"/>
      <c r="Q240" s="3" t="str">
        <f t="shared" si="3"/>
        <v/>
      </c>
      <c r="R240" s="3">
        <v>240</v>
      </c>
    </row>
    <row r="241" spans="1:18" x14ac:dyDescent="0.25">
      <c r="A241" s="33" t="s">
        <v>1457</v>
      </c>
      <c r="B241" s="23">
        <v>7850</v>
      </c>
      <c r="C241" s="22" t="s">
        <v>1182</v>
      </c>
      <c r="D241" s="34" t="s">
        <v>1184</v>
      </c>
      <c r="E241" s="34"/>
      <c r="F241" s="34"/>
      <c r="G241" s="34"/>
      <c r="H241" s="34"/>
      <c r="I241" s="34"/>
      <c r="J241" s="34"/>
      <c r="K241" s="34"/>
      <c r="L241" s="34"/>
      <c r="M241" s="34"/>
      <c r="N241" s="34"/>
      <c r="O241" s="34"/>
      <c r="P241" s="35"/>
      <c r="Q241" s="3" t="str">
        <f t="shared" si="3"/>
        <v/>
      </c>
      <c r="R241" s="3">
        <v>241</v>
      </c>
    </row>
    <row r="242" spans="1:18" x14ac:dyDescent="0.25">
      <c r="A242" s="33" t="s">
        <v>1458</v>
      </c>
      <c r="B242" s="23">
        <v>8933</v>
      </c>
      <c r="C242" s="22" t="s">
        <v>1182</v>
      </c>
      <c r="D242" s="34" t="s">
        <v>1185</v>
      </c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  <c r="P242" s="35"/>
      <c r="Q242" s="3" t="str">
        <f t="shared" si="3"/>
        <v/>
      </c>
      <c r="R242" s="3">
        <v>242</v>
      </c>
    </row>
    <row r="243" spans="1:18" x14ac:dyDescent="0.25">
      <c r="A243" s="33" t="s">
        <v>1459</v>
      </c>
      <c r="B243" s="23">
        <v>8933</v>
      </c>
      <c r="C243" s="22" t="s">
        <v>1182</v>
      </c>
      <c r="D243" s="34" t="s">
        <v>1186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  <c r="P243" s="35"/>
      <c r="Q243" s="3" t="str">
        <f t="shared" si="3"/>
        <v/>
      </c>
      <c r="R243" s="3">
        <v>243</v>
      </c>
    </row>
    <row r="244" spans="1:18" x14ac:dyDescent="0.25">
      <c r="A244" s="33" t="s">
        <v>1460</v>
      </c>
      <c r="B244" s="23">
        <v>8933</v>
      </c>
      <c r="C244" s="22" t="s">
        <v>1182</v>
      </c>
      <c r="D244" s="34" t="s">
        <v>1187</v>
      </c>
      <c r="E244" s="34"/>
      <c r="F244" s="34"/>
      <c r="G244" s="34"/>
      <c r="H244" s="34"/>
      <c r="I244" s="34"/>
      <c r="J244" s="34"/>
      <c r="K244" s="34"/>
      <c r="L244" s="34"/>
      <c r="M244" s="34"/>
      <c r="N244" s="34"/>
      <c r="O244" s="34"/>
      <c r="P244" s="35"/>
      <c r="Q244" s="3" t="str">
        <f t="shared" si="3"/>
        <v/>
      </c>
      <c r="R244" s="3">
        <v>244</v>
      </c>
    </row>
    <row r="245" spans="1:18" x14ac:dyDescent="0.25">
      <c r="A245" s="33" t="s">
        <v>1461</v>
      </c>
      <c r="B245" s="23">
        <v>8933</v>
      </c>
      <c r="C245" s="22" t="s">
        <v>1182</v>
      </c>
      <c r="D245" s="34" t="s">
        <v>1188</v>
      </c>
      <c r="E245" s="34"/>
      <c r="F245" s="34"/>
      <c r="G245" s="34"/>
      <c r="H245" s="34"/>
      <c r="I245" s="34"/>
      <c r="J245" s="34"/>
      <c r="K245" s="34"/>
      <c r="L245" s="34"/>
      <c r="M245" s="34"/>
      <c r="N245" s="34"/>
      <c r="O245" s="34"/>
      <c r="P245" s="35"/>
      <c r="Q245" s="3" t="str">
        <f t="shared" si="3"/>
        <v/>
      </c>
      <c r="R245" s="3">
        <v>245</v>
      </c>
    </row>
    <row r="246" spans="1:18" ht="15.75" thickBot="1" x14ac:dyDescent="0.3">
      <c r="A246" s="37" t="s">
        <v>1475</v>
      </c>
      <c r="B246" s="38" t="s">
        <v>1474</v>
      </c>
      <c r="C246" s="39"/>
      <c r="D246" s="40"/>
      <c r="E246" s="40"/>
      <c r="F246" s="40"/>
      <c r="G246" s="40"/>
      <c r="H246" s="40"/>
      <c r="I246" s="40"/>
      <c r="J246" s="40"/>
      <c r="K246" s="40"/>
      <c r="L246" s="40"/>
      <c r="M246" s="40"/>
      <c r="N246" s="40"/>
      <c r="O246" s="40"/>
      <c r="P246" s="41"/>
      <c r="Q246" s="4" t="str">
        <f t="shared" si="3"/>
        <v/>
      </c>
      <c r="R246" s="3">
        <v>246</v>
      </c>
    </row>
    <row r="247" spans="1:18" x14ac:dyDescent="0.25">
      <c r="A247" s="20"/>
      <c r="B247" s="21"/>
      <c r="C247" s="3"/>
      <c r="D247" s="19"/>
      <c r="E247" s="19"/>
      <c r="F247" s="19"/>
      <c r="G247" s="19"/>
      <c r="H247" s="19"/>
      <c r="I247" s="19"/>
      <c r="J247" s="19"/>
      <c r="K247" s="19"/>
      <c r="L247" s="19"/>
      <c r="M247" s="19"/>
      <c r="N247" s="19"/>
      <c r="O247" s="19"/>
      <c r="P247" s="19"/>
      <c r="Q247" s="3"/>
      <c r="R247" s="3"/>
    </row>
    <row r="248" spans="1:18" x14ac:dyDescent="0.25">
      <c r="A248" s="20"/>
      <c r="B248" s="21"/>
      <c r="C248" s="3"/>
      <c r="D248" s="19"/>
      <c r="E248" s="19"/>
      <c r="F248" s="19"/>
      <c r="G248" s="19"/>
      <c r="H248" s="19"/>
      <c r="I248" s="19"/>
      <c r="J248" s="19"/>
      <c r="K248" s="19"/>
      <c r="L248" s="19"/>
      <c r="M248" s="19"/>
      <c r="N248" s="19"/>
      <c r="O248" s="19"/>
      <c r="P248" s="19"/>
      <c r="Q248" s="3"/>
      <c r="R248" s="3"/>
    </row>
    <row r="249" spans="1:18" x14ac:dyDescent="0.25">
      <c r="A249" s="20"/>
      <c r="B249" s="21"/>
      <c r="C249" s="3"/>
      <c r="D249" s="19"/>
      <c r="E249" s="19"/>
      <c r="F249" s="19"/>
      <c r="G249" s="19"/>
      <c r="H249" s="19"/>
      <c r="I249" s="19"/>
      <c r="J249" s="19"/>
      <c r="K249" s="19"/>
      <c r="L249" s="19"/>
      <c r="M249" s="19"/>
      <c r="N249" s="19"/>
      <c r="O249" s="19"/>
      <c r="P249" s="19"/>
      <c r="Q249" s="3"/>
      <c r="R249" s="3"/>
    </row>
    <row r="250" spans="1:18" x14ac:dyDescent="0.25">
      <c r="A250" s="20"/>
      <c r="B250" s="21"/>
      <c r="C250" s="3"/>
      <c r="D250" s="19"/>
      <c r="E250" s="19"/>
      <c r="F250" s="19"/>
      <c r="G250" s="19"/>
      <c r="H250" s="19"/>
      <c r="I250" s="19"/>
      <c r="J250" s="19"/>
      <c r="K250" s="19"/>
      <c r="L250" s="19"/>
      <c r="M250" s="19"/>
      <c r="N250" s="19"/>
      <c r="O250" s="19"/>
      <c r="P250" s="19"/>
      <c r="Q250" s="3"/>
      <c r="R250" s="3"/>
    </row>
    <row r="251" spans="1:18" x14ac:dyDescent="0.25">
      <c r="A251" s="20"/>
      <c r="B251" s="21"/>
      <c r="C251" s="3"/>
      <c r="D251" s="19"/>
      <c r="E251" s="19"/>
      <c r="F251" s="19"/>
      <c r="G251" s="19"/>
      <c r="H251" s="19"/>
      <c r="I251" s="19"/>
      <c r="J251" s="19"/>
      <c r="K251" s="19"/>
      <c r="L251" s="19"/>
      <c r="M251" s="19"/>
      <c r="N251" s="19"/>
      <c r="O251" s="19"/>
      <c r="P251" s="19"/>
      <c r="Q251" s="3"/>
      <c r="R251" s="3"/>
    </row>
    <row r="252" spans="1:18" x14ac:dyDescent="0.25">
      <c r="A252" s="20"/>
      <c r="B252" s="21"/>
      <c r="C252" s="3"/>
      <c r="D252" s="19"/>
      <c r="E252" s="19"/>
      <c r="F252" s="19"/>
      <c r="G252" s="19"/>
      <c r="H252" s="19"/>
      <c r="I252" s="19"/>
      <c r="J252" s="19"/>
      <c r="K252" s="19"/>
      <c r="L252" s="19"/>
      <c r="M252" s="19"/>
      <c r="N252" s="19"/>
      <c r="O252" s="19"/>
      <c r="P252" s="19"/>
      <c r="Q252" s="3"/>
      <c r="R252" s="3"/>
    </row>
    <row r="253" spans="1:18" x14ac:dyDescent="0.25">
      <c r="K253" s="17"/>
      <c r="L253" s="17"/>
      <c r="M253" s="17"/>
      <c r="N253" s="17"/>
      <c r="O253" s="17"/>
      <c r="P253" s="17"/>
    </row>
  </sheetData>
  <mergeCells count="240">
    <mergeCell ref="C6:F6"/>
    <mergeCell ref="B5:C5"/>
    <mergeCell ref="D224:O224"/>
    <mergeCell ref="D225:O225"/>
    <mergeCell ref="D226:O226"/>
    <mergeCell ref="D241:O241"/>
    <mergeCell ref="D242:O242"/>
    <mergeCell ref="D243:O243"/>
    <mergeCell ref="D244:O244"/>
    <mergeCell ref="D245:O245"/>
    <mergeCell ref="D229:O229"/>
    <mergeCell ref="D230:O230"/>
    <mergeCell ref="D231:O231"/>
    <mergeCell ref="D232:O232"/>
    <mergeCell ref="D233:O233"/>
    <mergeCell ref="D234:O234"/>
    <mergeCell ref="D240:O240"/>
    <mergeCell ref="D239:O239"/>
    <mergeCell ref="D235:O235"/>
    <mergeCell ref="D236:O236"/>
    <mergeCell ref="D237:O237"/>
    <mergeCell ref="D238:O238"/>
    <mergeCell ref="D145:O145"/>
    <mergeCell ref="D146:O146"/>
    <mergeCell ref="D147:O147"/>
    <mergeCell ref="D148:O148"/>
    <mergeCell ref="D149:O149"/>
    <mergeCell ref="D150:O150"/>
    <mergeCell ref="D133:O133"/>
    <mergeCell ref="D134:O134"/>
    <mergeCell ref="D135:O135"/>
    <mergeCell ref="D136:O136"/>
    <mergeCell ref="D137:O137"/>
    <mergeCell ref="D138:O138"/>
    <mergeCell ref="D139:O139"/>
    <mergeCell ref="D140:O140"/>
    <mergeCell ref="D141:O141"/>
    <mergeCell ref="D142:O142"/>
    <mergeCell ref="D144:O144"/>
    <mergeCell ref="D143:O143"/>
    <mergeCell ref="D124:O124"/>
    <mergeCell ref="D125:O125"/>
    <mergeCell ref="D126:O126"/>
    <mergeCell ref="D109:O109"/>
    <mergeCell ref="D110:O110"/>
    <mergeCell ref="D111:O111"/>
    <mergeCell ref="D112:O112"/>
    <mergeCell ref="D113:O113"/>
    <mergeCell ref="D114:O114"/>
    <mergeCell ref="D70:O70"/>
    <mergeCell ref="D89:O89"/>
    <mergeCell ref="D90:O90"/>
    <mergeCell ref="D91:O91"/>
    <mergeCell ref="D92:O92"/>
    <mergeCell ref="D93:O93"/>
    <mergeCell ref="D94:O94"/>
    <mergeCell ref="D121:O121"/>
    <mergeCell ref="D122:O122"/>
    <mergeCell ref="D189:O189"/>
    <mergeCell ref="D51:O51"/>
    <mergeCell ref="D35:O35"/>
    <mergeCell ref="D36:O36"/>
    <mergeCell ref="D76:O76"/>
    <mergeCell ref="D42:O42"/>
    <mergeCell ref="D43:O43"/>
    <mergeCell ref="D44:O44"/>
    <mergeCell ref="D45:O45"/>
    <mergeCell ref="D58:O58"/>
    <mergeCell ref="D71:O71"/>
    <mergeCell ref="D72:O72"/>
    <mergeCell ref="D59:O59"/>
    <mergeCell ref="D60:O60"/>
    <mergeCell ref="D77:O77"/>
    <mergeCell ref="D78:O78"/>
    <mergeCell ref="D61:O61"/>
    <mergeCell ref="D62:O62"/>
    <mergeCell ref="D63:O63"/>
    <mergeCell ref="D64:O64"/>
    <mergeCell ref="D65:O65"/>
    <mergeCell ref="D66:O66"/>
    <mergeCell ref="D68:O68"/>
    <mergeCell ref="D69:O69"/>
    <mergeCell ref="D39:O39"/>
    <mergeCell ref="D40:O40"/>
    <mergeCell ref="D41:O41"/>
    <mergeCell ref="D211:O211"/>
    <mergeCell ref="D212:O212"/>
    <mergeCell ref="D213:O213"/>
    <mergeCell ref="D214:O214"/>
    <mergeCell ref="D174:O174"/>
    <mergeCell ref="D180:O180"/>
    <mergeCell ref="D175:O175"/>
    <mergeCell ref="D181:O181"/>
    <mergeCell ref="D182:O182"/>
    <mergeCell ref="D183:O183"/>
    <mergeCell ref="D184:O184"/>
    <mergeCell ref="D185:O185"/>
    <mergeCell ref="D186:O186"/>
    <mergeCell ref="D190:O190"/>
    <mergeCell ref="D179:O179"/>
    <mergeCell ref="D176:O176"/>
    <mergeCell ref="D177:O177"/>
    <mergeCell ref="D178:O178"/>
    <mergeCell ref="D210:O210"/>
    <mergeCell ref="D187:O187"/>
    <mergeCell ref="D188:O188"/>
    <mergeCell ref="D28:O28"/>
    <mergeCell ref="D29:O29"/>
    <mergeCell ref="D30:O30"/>
    <mergeCell ref="D49:O49"/>
    <mergeCell ref="D50:O50"/>
    <mergeCell ref="D217:O217"/>
    <mergeCell ref="D218:O218"/>
    <mergeCell ref="D205:O205"/>
    <mergeCell ref="D206:O206"/>
    <mergeCell ref="D207:O207"/>
    <mergeCell ref="D208:O208"/>
    <mergeCell ref="D209:O209"/>
    <mergeCell ref="D46:O46"/>
    <mergeCell ref="D47:O47"/>
    <mergeCell ref="D48:O48"/>
    <mergeCell ref="D73:O73"/>
    <mergeCell ref="D74:O74"/>
    <mergeCell ref="D75:O75"/>
    <mergeCell ref="D55:O55"/>
    <mergeCell ref="D52:O52"/>
    <mergeCell ref="D53:O53"/>
    <mergeCell ref="D54:O54"/>
    <mergeCell ref="D37:O37"/>
    <mergeCell ref="D38:O38"/>
    <mergeCell ref="D25:O25"/>
    <mergeCell ref="D26:O26"/>
    <mergeCell ref="D27:O27"/>
    <mergeCell ref="D8:O8"/>
    <mergeCell ref="D9:O9"/>
    <mergeCell ref="D10:O10"/>
    <mergeCell ref="D11:O11"/>
    <mergeCell ref="D12:O12"/>
    <mergeCell ref="D13:O13"/>
    <mergeCell ref="D14:O14"/>
    <mergeCell ref="D15:O15"/>
    <mergeCell ref="D16:O16"/>
    <mergeCell ref="D23:O23"/>
    <mergeCell ref="D24:O24"/>
    <mergeCell ref="D17:O17"/>
    <mergeCell ref="D18:O18"/>
    <mergeCell ref="D88:O88"/>
    <mergeCell ref="D170:O170"/>
    <mergeCell ref="D171:O171"/>
    <mergeCell ref="D172:O172"/>
    <mergeCell ref="D167:O167"/>
    <mergeCell ref="D157:O157"/>
    <mergeCell ref="D158:O158"/>
    <mergeCell ref="D168:O168"/>
    <mergeCell ref="D155:O155"/>
    <mergeCell ref="D156:O156"/>
    <mergeCell ref="D159:O159"/>
    <mergeCell ref="D160:O160"/>
    <mergeCell ref="D161:O161"/>
    <mergeCell ref="D162:O162"/>
    <mergeCell ref="D163:O163"/>
    <mergeCell ref="D164:O164"/>
    <mergeCell ref="D165:O165"/>
    <mergeCell ref="D166:O166"/>
    <mergeCell ref="D151:O151"/>
    <mergeCell ref="D152:O152"/>
    <mergeCell ref="D153:O153"/>
    <mergeCell ref="D154:O154"/>
    <mergeCell ref="D169:O169"/>
    <mergeCell ref="D123:O123"/>
    <mergeCell ref="D223:O223"/>
    <mergeCell ref="D81:O81"/>
    <mergeCell ref="D82:O82"/>
    <mergeCell ref="D127:O127"/>
    <mergeCell ref="D128:O128"/>
    <mergeCell ref="D129:O129"/>
    <mergeCell ref="D130:O130"/>
    <mergeCell ref="D115:O115"/>
    <mergeCell ref="D116:O116"/>
    <mergeCell ref="D117:O117"/>
    <mergeCell ref="D118:O118"/>
    <mergeCell ref="D103:O103"/>
    <mergeCell ref="D104:O104"/>
    <mergeCell ref="D105:O105"/>
    <mergeCell ref="D106:O106"/>
    <mergeCell ref="D97:O97"/>
    <mergeCell ref="D98:O98"/>
    <mergeCell ref="D99:O99"/>
    <mergeCell ref="D100:O100"/>
    <mergeCell ref="D101:O101"/>
    <mergeCell ref="D102:O102"/>
    <mergeCell ref="D85:O85"/>
    <mergeCell ref="D86:O86"/>
    <mergeCell ref="D87:O87"/>
    <mergeCell ref="D80:O80"/>
    <mergeCell ref="D173:O173"/>
    <mergeCell ref="D227:O227"/>
    <mergeCell ref="D228:O228"/>
    <mergeCell ref="D215:O215"/>
    <mergeCell ref="D216:O216"/>
    <mergeCell ref="D203:O203"/>
    <mergeCell ref="D204:O204"/>
    <mergeCell ref="D191:O191"/>
    <mergeCell ref="D192:O192"/>
    <mergeCell ref="D193:O193"/>
    <mergeCell ref="D194:O194"/>
    <mergeCell ref="D195:O195"/>
    <mergeCell ref="D196:O196"/>
    <mergeCell ref="D197:O197"/>
    <mergeCell ref="D198:O198"/>
    <mergeCell ref="D219:O219"/>
    <mergeCell ref="D220:O220"/>
    <mergeCell ref="D221:O221"/>
    <mergeCell ref="D222:O222"/>
    <mergeCell ref="D199:O199"/>
    <mergeCell ref="D200:O200"/>
    <mergeCell ref="D201:O201"/>
    <mergeCell ref="D202:O202"/>
    <mergeCell ref="D131:O131"/>
    <mergeCell ref="D132:O132"/>
    <mergeCell ref="D119:O119"/>
    <mergeCell ref="D120:O120"/>
    <mergeCell ref="D107:O107"/>
    <mergeCell ref="D108:O108"/>
    <mergeCell ref="D95:O95"/>
    <mergeCell ref="D96:O96"/>
    <mergeCell ref="D83:O83"/>
    <mergeCell ref="D84:O84"/>
    <mergeCell ref="D31:O31"/>
    <mergeCell ref="D32:O32"/>
    <mergeCell ref="D33:O33"/>
    <mergeCell ref="D34:O34"/>
    <mergeCell ref="D19:O19"/>
    <mergeCell ref="D20:O20"/>
    <mergeCell ref="D21:O21"/>
    <mergeCell ref="D22:O22"/>
    <mergeCell ref="D67:O67"/>
    <mergeCell ref="D56:O56"/>
    <mergeCell ref="D57:O57"/>
    <mergeCell ref="D79:O79"/>
  </mergeCells>
  <conditionalFormatting sqref="O6">
    <cfRule type="expression" dxfId="6" priority="6">
      <formula>$O$6=TRUE</formula>
    </cfRule>
    <cfRule type="expression" dxfId="5" priority="5">
      <formula>$O$6=FALSE</formula>
    </cfRule>
  </conditionalFormatting>
  <conditionalFormatting sqref="B8">
    <cfRule type="expression" dxfId="2" priority="3">
      <formula>Q8=1</formula>
    </cfRule>
  </conditionalFormatting>
  <conditionalFormatting sqref="B9:B245">
    <cfRule type="expression" dxfId="0" priority="1">
      <formula>Q9=1</formula>
    </cfRule>
  </conditionalFormatting>
  <pageMargins left="0.7" right="0.7" top="0.75" bottom="0.75" header="0.3" footer="0.3"/>
  <pageSetup paperSize="307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K16" sqref="K16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Users</vt:lpstr>
      <vt:lpstr>Designs Log</vt:lpstr>
      <vt:lpstr>Editing Page</vt:lpstr>
      <vt:lpstr>Results</vt:lpstr>
      <vt:lpstr>Program Data</vt:lpstr>
      <vt:lpstr>VBA Exports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Krystof Godyn</cp:lastModifiedBy>
  <dcterms:created xsi:type="dcterms:W3CDTF">2006-09-16T00:00:00Z</dcterms:created>
  <dcterms:modified xsi:type="dcterms:W3CDTF">2022-06-30T11:21:48Z</dcterms:modified>
</cp:coreProperties>
</file>